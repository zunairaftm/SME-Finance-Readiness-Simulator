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Dashboard" sheetId="1" state="visible" r:id="rId3"/>
    <sheet name="Inputs" sheetId="2" state="visible" r:id="rId4"/>
    <sheet name="Calculations" sheetId="3" state="visible" r:id="rId5"/>
    <sheet name="Scoring" sheetId="4" state="visible" r:id="rId6"/>
    <sheet name="Dashboard" sheetId="5" state="visible" r:id="rId7"/>
    <sheet name="What-If" sheetId="6" state="visible" r:id="rId8"/>
    <sheet name="Diagnostics" sheetId="7" state="visible" r:id="rId9"/>
    <sheet name="Methodology" sheetId="8" state="visible" r:id="rId10"/>
    <sheet name="Literature &amp; Evidence" sheetId="9" state="visible" r:id="rId11"/>
    <sheet name="V3 Methodology" sheetId="10" state="visible" r:id="rId12"/>
    <sheet name="Recommendations" sheetId="11" state="visible" r:id="rId13"/>
    <sheet name="What-If V2" sheetId="12" state="visible" r:id="rId14"/>
    <sheet name="QC &amp; Validation" sheetId="13" state="visible" r:id="rId15"/>
  </sheets>
  <definedNames>
    <definedName function="false" hidden="true" localSheetId="8" name="_xlnm._FilterDatabase" vbProcedure="false">'Literature &amp; Evidence'!$A$1:$D$8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<sst xmlns="http://schemas.openxmlformats.org/spreadsheetml/2006/main" count="770" uniqueCount="472">
  <si>
    <t xml:space="preserve">SME FINANCE READINESS — EXECUTIVE DASHBOARD</t>
  </si>
  <si>
    <t xml:space="preserve">Evidence-informed prototype | Decision-support tool | Not a credit approval or lender score</t>
  </si>
  <si>
    <t xml:space="preserve">OVERALL READINESS</t>
  </si>
  <si>
    <t xml:space="preserve">CLASSIFICATION</t>
  </si>
  <si>
    <t xml:space="preserve">TOP PRIORITY</t>
  </si>
  <si>
    <t xml:space="preserve">READINESS DIMENSIONS</t>
  </si>
  <si>
    <t xml:space="preserve">Dimension</t>
  </si>
  <si>
    <t xml:space="preserve">Score</t>
  </si>
  <si>
    <t xml:space="preserve">Maximum</t>
  </si>
  <si>
    <t xml:space="preserve">% of Maximum</t>
  </si>
  <si>
    <t xml:space="preserve">Financial Health</t>
  </si>
  <si>
    <t xml:space="preserve">Cash-Flow Management</t>
  </si>
  <si>
    <t xml:space="preserve">Financial Records &amp; Transparency</t>
  </si>
  <si>
    <t xml:space="preserve">Debt &amp; Repayment Capacity</t>
  </si>
  <si>
    <t xml:space="preserve">Financial Planning</t>
  </si>
  <si>
    <t xml:space="preserve">KEY FINANCIAL INDICATORS</t>
  </si>
  <si>
    <t xml:space="preserve">Indicator</t>
  </si>
  <si>
    <t xml:space="preserve">Value</t>
  </si>
  <si>
    <t xml:space="preserve">Interpretation</t>
  </si>
  <si>
    <t xml:space="preserve">Current Ratio</t>
  </si>
  <si>
    <t xml:space="preserve">Liquidity</t>
  </si>
  <si>
    <t xml:space="preserve">Operating Profit Margin</t>
  </si>
  <si>
    <t xml:space="preserve">Profitability</t>
  </si>
  <si>
    <t xml:space="preserve">Debt / Assets</t>
  </si>
  <si>
    <t xml:space="preserve">Leverage</t>
  </si>
  <si>
    <t xml:space="preserve">Cash-Flow Coverage</t>
  </si>
  <si>
    <t xml:space="preserve">Inflow / outflow</t>
  </si>
  <si>
    <t xml:space="preserve">Cash Reserve</t>
  </si>
  <si>
    <t xml:space="preserve">Months</t>
  </si>
  <si>
    <t xml:space="preserve">Debt-Service Coverage Proxy</t>
  </si>
  <si>
    <t xml:space="preserve">Cash available / debt payment</t>
  </si>
  <si>
    <t xml:space="preserve">Recordkeeping Practices</t>
  </si>
  <si>
    <t xml:space="preserve">Share completed</t>
  </si>
  <si>
    <t xml:space="preserve">Financial Planning Practices</t>
  </si>
  <si>
    <t xml:space="preserve">WHAT-IF IMPROVEMENT</t>
  </si>
  <si>
    <t xml:space="preserve">Current Score</t>
  </si>
  <si>
    <t xml:space="preserve">Scenario Score</t>
  </si>
  <si>
    <t xml:space="preserve">Score Change</t>
  </si>
  <si>
    <t xml:space="preserve">Scenario Classification</t>
  </si>
  <si>
    <t xml:space="preserve">IMPROVEMENT PRIORITIES</t>
  </si>
  <si>
    <t xml:space="preserve">Area</t>
  </si>
  <si>
    <t xml:space="preserve">Status</t>
  </si>
  <si>
    <t xml:space="preserve">Priority</t>
  </si>
  <si>
    <t xml:space="preserve">Recommended Action</t>
  </si>
  <si>
    <t xml:space="preserve">Interpretation note: the readiness score is an internal prototype. Thresholds and weights are normalization choices informed by literature and should be empirically validated before use for real lending, investment, or regulatory decisions.</t>
  </si>
  <si>
    <t xml:space="preserve">Demo note:</t>
  </si>
  <si>
    <t xml:space="preserve">Inputs are illustrative and can be replaced with actual SME data.</t>
  </si>
  <si>
    <t xml:space="preserve">Workbook navigation:</t>
  </si>
  <si>
    <t xml:space="preserve">Inputs → Calculations → Scoring → Diagnostics → Recommendations → What-If V2 → Methodology → QC &amp; Validation</t>
  </si>
  <si>
    <t xml:space="preserve">SME Finance Readiness &amp; Improvement Simulator</t>
  </si>
  <si>
    <t xml:space="preserve">Illustrative demo values are preloaded for portfolio demonstration. Replace the yellow cells with real SME information.</t>
  </si>
  <si>
    <t xml:space="preserve">Category</t>
  </si>
  <si>
    <t xml:space="preserve">Input</t>
  </si>
  <si>
    <t xml:space="preserve">Unit / Response Type</t>
  </si>
  <si>
    <t xml:space="preserve">Business Information</t>
  </si>
  <si>
    <t xml:space="preserve">Business age</t>
  </si>
  <si>
    <t xml:space="preserve">Years</t>
  </si>
  <si>
    <t xml:space="preserve">Number of employees</t>
  </si>
  <si>
    <t xml:space="preserve">Number</t>
  </si>
  <si>
    <t xml:space="preserve">Annual revenue</t>
  </si>
  <si>
    <t xml:space="preserve">PKR</t>
  </si>
  <si>
    <t xml:space="preserve">Annual operating expenses</t>
  </si>
  <si>
    <t xml:space="preserve">Total assets</t>
  </si>
  <si>
    <t xml:space="preserve">Current assets</t>
  </si>
  <si>
    <t xml:space="preserve">Current liabilities</t>
  </si>
  <si>
    <t xml:space="preserve">Total debt</t>
  </si>
  <si>
    <t xml:space="preserve">Annual interest expense</t>
  </si>
  <si>
    <t xml:space="preserve">Annual principal repayment</t>
  </si>
  <si>
    <t xml:space="preserve">Cash &amp; cash equivalents</t>
  </si>
  <si>
    <t xml:space="preserve">Average monthly cash inflow</t>
  </si>
  <si>
    <t xml:space="preserve">Average monthly cash outflow</t>
  </si>
  <si>
    <t xml:space="preserve">Average monthly debt payment</t>
  </si>
  <si>
    <t xml:space="preserve">Cash reserve</t>
  </si>
  <si>
    <t xml:space="preserve">Cash-flow monitoring frequency</t>
  </si>
  <si>
    <t xml:space="preserve">Monthly</t>
  </si>
  <si>
    <t xml:space="preserve">Monthly / Quarterly / Less often</t>
  </si>
  <si>
    <t xml:space="preserve">Financial Records</t>
  </si>
  <si>
    <t xml:space="preserve">Formal accounting records maintained</t>
  </si>
  <si>
    <t xml:space="preserve">Yes</t>
  </si>
  <si>
    <t xml:space="preserve">Yes / No</t>
  </si>
  <si>
    <t xml:space="preserve">Financial statements prepared</t>
  </si>
  <si>
    <t xml:space="preserve">Business bank account used</t>
  </si>
  <si>
    <t xml:space="preserve">Business and personal finances separated</t>
  </si>
  <si>
    <t xml:space="preserve">Records updated regularly</t>
  </si>
  <si>
    <t xml:space="preserve">Accounting software used</t>
  </si>
  <si>
    <t xml:space="preserve">No</t>
  </si>
  <si>
    <t xml:space="preserve">At least 2 years of financial records available</t>
  </si>
  <si>
    <t xml:space="preserve">Annual budget prepared</t>
  </si>
  <si>
    <t xml:space="preserve">Revenue forecast prepared</t>
  </si>
  <si>
    <t xml:space="preserve">Expense forecast prepared</t>
  </si>
  <si>
    <t xml:space="preserve">Actual vs. budget reviewed</t>
  </si>
  <si>
    <t xml:space="preserve">Financial targets established</t>
  </si>
  <si>
    <t xml:space="preserve">Emergency financial plan exists</t>
  </si>
  <si>
    <t xml:space="preserve">Financial Calculations</t>
  </si>
  <si>
    <t xml:space="preserve">Formula</t>
  </si>
  <si>
    <t xml:space="preserve">Result</t>
  </si>
  <si>
    <t xml:space="preserve">Operating profit</t>
  </si>
  <si>
    <t xml:space="preserve">Revenue − operating expenses</t>
  </si>
  <si>
    <t xml:space="preserve">Positive is generally stronger</t>
  </si>
  <si>
    <t xml:space="preserve">Current ratio</t>
  </si>
  <si>
    <t xml:space="preserve">Current assets ÷ current liabilities</t>
  </si>
  <si>
    <t xml:space="preserve">Higher generally indicates stronger short-term liquidity</t>
  </si>
  <si>
    <t xml:space="preserve">Operating profit margin</t>
  </si>
  <si>
    <t xml:space="preserve">Operating profit ÷ revenue</t>
  </si>
  <si>
    <t xml:space="preserve">Higher generally indicates stronger operating profitability</t>
  </si>
  <si>
    <t xml:space="preserve">Debt-to-asset ratio</t>
  </si>
  <si>
    <t xml:space="preserve">Total debt ÷ total assets</t>
  </si>
  <si>
    <t xml:space="preserve">Lower generally indicates lower leverage</t>
  </si>
  <si>
    <t xml:space="preserve">Monthly net cash flow</t>
  </si>
  <si>
    <t xml:space="preserve">Monthly inflow − monthly outflow</t>
  </si>
  <si>
    <t xml:space="preserve">Positive means inflow exceeds outflow</t>
  </si>
  <si>
    <t xml:space="preserve">Cash-flow coverage</t>
  </si>
  <si>
    <t xml:space="preserve">Monthly inflow ÷ monthly outflow</t>
  </si>
  <si>
    <t xml:space="preserve">Higher indicates greater operating cash coverage</t>
  </si>
  <si>
    <t xml:space="preserve">Direct input</t>
  </si>
  <si>
    <t xml:space="preserve">Months of cash reserve</t>
  </si>
  <si>
    <t xml:space="preserve">Cash-flow debt-service coverage (proxy)</t>
  </si>
  <si>
    <t xml:space="preserve">(Monthly inflow − monthly outflow) ÷ monthly debt payment</t>
  </si>
  <si>
    <t xml:space="preserve">Cash generated before debt service relative to recurring debt payment; proxy, not formal lender DSCR.</t>
  </si>
  <si>
    <t xml:space="preserve">Recordkeeping practices</t>
  </si>
  <si>
    <t xml:space="preserve">Yes responses ÷ 7</t>
  </si>
  <si>
    <t xml:space="preserve">Share of recommended practices present</t>
  </si>
  <si>
    <t xml:space="preserve">Planning practices</t>
  </si>
  <si>
    <t xml:space="preserve">Yes responses ÷ 6</t>
  </si>
  <si>
    <t xml:space="preserve">Finance Readiness Scoring Engine</t>
  </si>
  <si>
    <t xml:space="preserve">Weight</t>
  </si>
  <si>
    <t xml:space="preserve">Component</t>
  </si>
  <si>
    <t xml:space="preserve">Max Points</t>
  </si>
  <si>
    <t xml:space="preserve">Current Points</t>
  </si>
  <si>
    <t xml:space="preserve">Scoring Logic</t>
  </si>
  <si>
    <t xml:space="preserve">Current ratio 0–2 → 0–8; capped.</t>
  </si>
  <si>
    <t xml:space="preserve">Operating margin 0–20% → 0–9; capped.</t>
  </si>
  <si>
    <t xml:space="preserve">Debt/assets 0–80% → 8–0.</t>
  </si>
  <si>
    <t xml:space="preserve">Inflow/outflow 0–1.5 → 0–10; capped.</t>
  </si>
  <si>
    <t xml:space="preserve">0–3 months → 0–5; capped.</t>
  </si>
  <si>
    <t xml:space="preserve">Monitoring frequency</t>
  </si>
  <si>
    <t xml:space="preserve">Monthly 5; quarterly 3; less often 1.</t>
  </si>
  <si>
    <t xml:space="preserve">Recordkeeping</t>
  </si>
  <si>
    <t xml:space="preserve">Seven practices weighted equally.</t>
  </si>
  <si>
    <t xml:space="preserve">Debt-service capacity</t>
  </si>
  <si>
    <t xml:space="preserve">Cash-flow DSCR proxy 0–2 → 0–20; capped. Proxy is not a lender underwriting DSCR.</t>
  </si>
  <si>
    <t xml:space="preserve">Six practices weighted equally.</t>
  </si>
  <si>
    <t xml:space="preserve">TOTAL FINANCE READINESS SCORE</t>
  </si>
  <si>
    <t xml:space="preserve">Classification</t>
  </si>
  <si>
    <t xml:space="preserve">Methodology note</t>
  </si>
  <si>
    <t xml:space="preserve">This is an internally designed prototype readiness index, not a bank credit score or externally validated certification. The weighting and normalization ranges will be documented and reviewed against relevant SME finance literature in the final project.</t>
  </si>
  <si>
    <t xml:space="preserve">Detailed Dashboard (Legacy)</t>
  </si>
  <si>
    <t xml:space="preserve">Overall Readiness Score</t>
  </si>
  <si>
    <t xml:space="preserve">/ 100</t>
  </si>
  <si>
    <t xml:space="preserve">Max</t>
  </si>
  <si>
    <t xml:space="preserve">Priority diagnostic</t>
  </si>
  <si>
    <t xml:space="preserve">Recommended actions</t>
  </si>
  <si>
    <t xml:space="preserve">Debt Capacity</t>
  </si>
  <si>
    <t xml:space="preserve">What-If Improvement Simulator</t>
  </si>
  <si>
    <t xml:space="preserve">Change hypothetical improvement assumptions below to see an indicative score.</t>
  </si>
  <si>
    <t xml:space="preserve">Variable</t>
  </si>
  <si>
    <t xml:space="preserve">Current</t>
  </si>
  <si>
    <t xml:space="preserve">Scenario</t>
  </si>
  <si>
    <t xml:space="preserve">Unit</t>
  </si>
  <si>
    <t xml:space="preserve">Change</t>
  </si>
  <si>
    <t xml:space="preserve">Purpose</t>
  </si>
  <si>
    <t xml:space="preserve">Scenario value</t>
  </si>
  <si>
    <t xml:space="preserve">Test profitability improvement</t>
  </si>
  <si>
    <t xml:space="preserve">Test cost management</t>
  </si>
  <si>
    <t xml:space="preserve">Test liquidity improvement</t>
  </si>
  <si>
    <t xml:space="preserve">Test short-term obligation reduction</t>
  </si>
  <si>
    <t xml:space="preserve">Test deleveraging</t>
  </si>
  <si>
    <t xml:space="preserve">Monthly cash inflow</t>
  </si>
  <si>
    <t xml:space="preserve">Test stronger cash generation</t>
  </si>
  <si>
    <t xml:space="preserve">Monthly cash outflow</t>
  </si>
  <si>
    <t xml:space="preserve">Test lower cash outflow</t>
  </si>
  <si>
    <t xml:space="preserve">Test liquidity buffer</t>
  </si>
  <si>
    <t xml:space="preserve">Baseline score</t>
  </si>
  <si>
    <t xml:space="preserve">Scenario score (indicative)</t>
  </si>
  <si>
    <t xml:space="preserve">Indicative change</t>
  </si>
  <si>
    <t xml:space="preserve">Important</t>
  </si>
  <si>
    <t xml:space="preserve">The What-If score is an exploratory scenario, not a forecast of financing approval or business performance. It holds several current practices constant and changes selected financial inputs.</t>
  </si>
  <si>
    <t xml:space="preserve">SME Finance Readiness — Detailed Diagnostics</t>
  </si>
  <si>
    <t xml:space="preserve">Overall Score</t>
  </si>
  <si>
    <t xml:space="preserve">Explains the underlying indicators behind the readiness score and provides targeted management actions.</t>
  </si>
  <si>
    <t xml:space="preserve">Metric</t>
  </si>
  <si>
    <t xml:space="preserve">Current Value</t>
  </si>
  <si>
    <t xml:space="preserve">Why It Matters</t>
  </si>
  <si>
    <t xml:space="preserve">Source</t>
  </si>
  <si>
    <t xml:space="preserve">Measures short-term liquidity relative to current liabilities.</t>
  </si>
  <si>
    <t xml:space="preserve">Calculations</t>
  </si>
  <si>
    <t xml:space="preserve">Shows the operating profit retained from revenue.</t>
  </si>
  <si>
    <t xml:space="preserve">Indicates how much of the asset base is financed by debt.</t>
  </si>
  <si>
    <t xml:space="preserve">Compares monthly cash inflows with monthly cash outflows.</t>
  </si>
  <si>
    <t xml:space="preserve">Shows the number of months of cash reserve available.</t>
  </si>
  <si>
    <t xml:space="preserve">Inputs</t>
  </si>
  <si>
    <t xml:space="preserve">Cash-flow Debt-Service Coverage (Proxy)</t>
  </si>
  <si>
    <t xml:space="preserve">Compares cash generated before debt service with recurring debt payment.</t>
  </si>
  <si>
    <t xml:space="preserve">Calculations!C11</t>
  </si>
  <si>
    <t xml:space="preserve">Formal records improve transparency and support financing decisions.</t>
  </si>
  <si>
    <t xml:space="preserve">Planning indicates whether management actively anticipates financial needs.</t>
  </si>
  <si>
    <t xml:space="preserve">Dimension Summary</t>
  </si>
  <si>
    <t xml:space="preserve">Share of Dimension</t>
  </si>
  <si>
    <t xml:space="preserve">V1 Source</t>
  </si>
  <si>
    <t xml:space="preserve">Original V1 scoring engine</t>
  </si>
  <si>
    <t xml:space="preserve">Methodology status</t>
  </si>
  <si>
    <t xml:space="preserve">V3 evidence layer added; V2 scoring engine remains unchanged. See 'V3 Methodology' and 'Literature &amp; Evidence'.</t>
  </si>
  <si>
    <t xml:space="preserve">SME Finance Readiness Simulator — Methodology</t>
  </si>
  <si>
    <t xml:space="preserve">Internal decision-support prototype combining financial indicators with management practices to assess SME finance readiness.</t>
  </si>
  <si>
    <t xml:space="preserve">Core framework</t>
  </si>
  <si>
    <t xml:space="preserve">Financial Health 25; Cash-Flow Management 20; Financial Records &amp; Transparency 20; Debt &amp; Repayment Capacity 20; Financial Planning 15.</t>
  </si>
  <si>
    <t xml:space="preserve">75–100 Ready; 50–74.99 Developing; below 50 Needs Improvement. These are internal prototype categories, not official lending standards.</t>
  </si>
  <si>
    <t xml:space="preserve">Financial condition vs readiness</t>
  </si>
  <si>
    <t xml:space="preserve">Financial condition describes the numbers; readiness also considers records, transparency, planning, cash management and debt capacity.</t>
  </si>
  <si>
    <t xml:space="preserve">Debt-service metric</t>
  </si>
  <si>
    <t xml:space="preserve">The debt-service measure is an indicative prototype proxy, not a formal lender DSCR.</t>
  </si>
  <si>
    <t xml:space="preserve">What-If limitation</t>
  </si>
  <si>
    <t xml:space="preserve">Scenario results are exploratory and should not be presented as predictions of financing approval or future business performance.</t>
  </si>
  <si>
    <t xml:space="preserve">Future validation</t>
  </si>
  <si>
    <t xml:space="preserve">Weights, thresholds and practice measures should be reviewed against SME-finance literature and, ideally, tested with real SME observations before external validation claims.</t>
  </si>
  <si>
    <t xml:space="preserve">Evidence source</t>
  </si>
  <si>
    <t xml:space="preserve">What it supports</t>
  </si>
  <si>
    <t xml:space="preserve">How used in simulator</t>
  </si>
  <si>
    <t xml:space="preserve">Caveat</t>
  </si>
  <si>
    <t xml:space="preserve">OECD (2026) Financing SMEs and Entrepreneurs 2026</t>
  </si>
  <si>
    <t xml:space="preserve">SME finance monitoring should use useful, feasible and timely indicators; framework covers financing structure, credit conditions, financial health and payment delays.</t>
  </si>
  <si>
    <t xml:space="preserve">Supports the overall multi-dimensional architecture rather than a single profitability score.</t>
  </si>
  <si>
    <t xml:space="preserve">OECD is a framework for monitoring SME finance, not a validated firm-level readiness score.</t>
  </si>
  <si>
    <t xml:space="preserve">OECD (2024) Financing SMEs and Entrepreneurs 2024</t>
  </si>
  <si>
    <t xml:space="preserve">Financial health and payment delays are relevant to SME financing conditions; access to finance involves debt, equity and financing conditions.</t>
  </si>
  <si>
    <t xml:space="preserve">Supports Financial Health and Cash-Flow Management dimensions.</t>
  </si>
  <si>
    <t xml:space="preserve">Country-level indicators do not establish firm-level thresholds.</t>
  </si>
  <si>
    <t xml:space="preserve">Brijlal, Enow &amp; Isaacs (2014), International Review of Economics Education</t>
  </si>
  <si>
    <t xml:space="preserve">SMMEs often rely on external accounting support and may have difficulty interpreting financial-statement information; financial-management education is relevant to cash-flow risk.</t>
  </si>
  <si>
    <t xml:space="preserve">Supports Records &amp; Transparency and the need for actionable recommendations.</t>
  </si>
  <si>
    <t xml:space="preserve">Evidence is South Africa-specific and observational.</t>
  </si>
  <si>
    <t xml:space="preserve">Kolawole &amp; Oladejo (2026), Bayero Business Review</t>
  </si>
  <si>
    <t xml:space="preserve">Record-keeping was significantly associated with SME performance and partially moderated the access-to-finance/performance relationship in a Kano SME sample.</t>
  </si>
  <si>
    <t xml:space="preserve">Supports treating record-keeping as a distinct readiness capability.</t>
  </si>
  <si>
    <t xml:space="preserve">Single regional sample; does not validate our 20-point weight.</t>
  </si>
  <si>
    <t xml:space="preserve">Okello (2022), Makerere University</t>
  </si>
  <si>
    <t xml:space="preserve">Cash-flow budget, monitoring and cash-flow-cycle control were positively correlated with SME financial performance in a Ugandan sample.</t>
  </si>
  <si>
    <t xml:space="preserve">Supports Cash-Flow Management indicators such as monitoring and reserve/cash coverage.</t>
  </si>
  <si>
    <t xml:space="preserve">Correlation does not prove causation; context differs from Pakistan.</t>
  </si>
  <si>
    <t xml:space="preserve">Elom &amp; Atah (2025), Journal of International Cooperation and Development</t>
  </si>
  <si>
    <t xml:space="preserve">Budgeting strategy and cash-flow management were examined as financial-management strategies affecting MSE performance.</t>
  </si>
  <si>
    <t xml:space="preserve">Supports Financial Planning and Cash-Flow Management as practical management capabilities.</t>
  </si>
  <si>
    <t xml:space="preserve">MSE evidence from Calabar; not a financing-approval model.</t>
  </si>
  <si>
    <t xml:space="preserve">Agri-SME managers study (2024), Scientific African</t>
  </si>
  <si>
    <t xml:space="preserve">Financial-management practices and perceived usefulness/ease of use were positively associated with organizational performance; technology adoption remained limited.</t>
  </si>
  <si>
    <t xml:space="preserve">Supports including accounting-software use and practical financial-management practices as diagnostic items.</t>
  </si>
  <si>
    <t xml:space="preserve">Agri-SME context; not directly a financing-readiness validation study.</t>
  </si>
  <si>
    <t xml:space="preserve">SME Finance Readiness &amp; Improvement Simulator — V3 Methodology</t>
  </si>
  <si>
    <t xml:space="preserve">An internal decision-support prototype that diagnoses finance-related strengths and weaknesses in an SME and simulates improvement scenarios. It is not a credit score, loan-approval model, or prediction of financing approval.</t>
  </si>
  <si>
    <t xml:space="preserve">Conceptual distinction</t>
  </si>
  <si>
    <t xml:space="preserve">Financial health describes the firm's current financial condition. Finance readiness additionally considers whether the firm has the records, cash-flow discipline, repayment capacity and planning practices needed to present and manage a financing case.</t>
  </si>
  <si>
    <t xml:space="preserve">Dimension 1 — Financial Health</t>
  </si>
  <si>
    <t xml:space="preserve">25 points: liquidity (8), profitability (9), leverage (8). Indicators: current ratio, operating profit margin, debt/assets.</t>
  </si>
  <si>
    <t xml:space="preserve">Dimension 2 — Cash-Flow Management</t>
  </si>
  <si>
    <t xml:space="preserve">20 points: cash-flow coverage (10), cash reserve (5), monitoring frequency (5). These capture near-term liquidity discipline and monitoring behavior.</t>
  </si>
  <si>
    <t xml:space="preserve">Dimension 3 — Financial Records &amp; Transparency</t>
  </si>
  <si>
    <t xml:space="preserve">20 points: seven binary practices, equally weighted in V2: formal accounting records; financial statements; business bank account; separation of personal/business finances; regular updates; accounting software; ≥2 years of records.</t>
  </si>
  <si>
    <t xml:space="preserve">Dimension 4 — Debt &amp; Repayment Capacity</t>
  </si>
  <si>
    <t xml:space="preserve">20 points: prototype debt-service capacity indicator. V2 uses an internal proxy; this should be replaced/reconciled with a formally defined debt-service metric in a later validation version rather than presenting it as standard DSCR.</t>
  </si>
  <si>
    <t xml:space="preserve">Dimension 5 — Financial Planning</t>
  </si>
  <si>
    <t xml:space="preserve">15 points: six binary practices, equally weighted in V2: annual budget; revenue forecast; expense forecast; actual-vs-budget review; financial targets; emergency financial plan.</t>
  </si>
  <si>
    <t xml:space="preserve">Why multiple dimensions</t>
  </si>
  <si>
    <t xml:space="preserve">OECD's SME finance framework uses multiple indicator families covering financing structure, credit conditions and financial health rather than one measure. Research also links record-keeping, cash-flow management and budgeting practices with SME management/performance outcomes. This supports a multidimensional diagnostic design.</t>
  </si>
  <si>
    <t xml:space="preserve">Weights</t>
  </si>
  <si>
    <t xml:space="preserve">The 25/20/20/20/15 weights are prototype design choices, not empirically estimated weights. They should be treated as transparent expert-design weights pending validation with SME/bank data.</t>
  </si>
  <si>
    <t xml:space="preserve">Thresholds</t>
  </si>
  <si>
    <t xml:space="preserve">V2 thresholds are normalization rules chosen for the prototype (e.g., current ratio 0–2; operating margin 0–20%; debt/assets 0–80%). They are not presented as universal SME standards and should be calibrated using sector/country evidence in future versions.</t>
  </si>
  <si>
    <t xml:space="preserve">75–100 = Ready; 50–74.99 = Developing; below 50 = Needs Improvement. These are prototype bands for communicating results, not industry or regulatory classifications.</t>
  </si>
  <si>
    <t xml:space="preserve">Validation roadmap</t>
  </si>
  <si>
    <t xml:space="preserve">Future validation should test: (1) expert review of indicators; (2) reliability of practice items; (3) sensitivity to weights/thresholds; (4) comparison with actual financing outcomes or lender assessments where data are available; and (5) sector-specific calibration.</t>
  </si>
  <si>
    <t xml:space="preserve">Key methodological warning</t>
  </si>
  <si>
    <t xml:space="preserve">The current V2 debt-service proxy is not formal DSCR. Do not call it DSCR in the portfolio. A later version should define debt-service capacity as cash available for debt service divided by required debt service using consistent periods and documented cash-flow assumptions.</t>
  </si>
  <si>
    <t xml:space="preserve">Core sources</t>
  </si>
  <si>
    <t xml:space="preserve">OECD (2026), Financing SMEs and Entrepreneurs 2026; OECD (2024), Financing SMEs and Entrepreneurs 2024; Brijlal, Enow &amp; Isaacs (2014); Kolawole &amp; Oladejo (2026); Okello (2022); Elom &amp; Atah (2025); Scientific African Agri-SME study (2024).</t>
  </si>
  <si>
    <t xml:space="preserve">Debt-service metric revision</t>
  </si>
  <si>
    <t xml:space="preserve">The original prototype formula added monthly debt payment back into cash available for debt service. V3 replaces it with (monthly inflow − monthly outflow) ÷ monthly debt payment. This is a cash-flow DSCR proxy, not a formal lender DSCR, because the model does not capture all lender-specific definitions of cash available for debt service.</t>
  </si>
  <si>
    <t xml:space="preserve">Recommendation engine</t>
  </si>
  <si>
    <t xml:space="preserve">V3 adds rule-based recommendations linked to liquidity, profitability, leverage, cash flow, cash reserve, debt-service coverage, records and planning. Recommendations are management guidance, not lending decisions.</t>
  </si>
  <si>
    <t xml:space="preserve">Evidence basis</t>
  </si>
  <si>
    <t xml:space="preserve">OECD (2026) identifies SME financing conditions, cash-flow/payment problems and financial health as relevant areas for monitoring SME finance; OCC guidance states that business cash flow is the primary repayment source for most small-business loans.</t>
  </si>
  <si>
    <t xml:space="preserve">V5 What-If Simulator</t>
  </si>
  <si>
    <t xml:space="preserve">The What-If module provides an internal scenario analysis using the prototype scoring logic. It does not predict lender approval or represent a validated credit-risk model.</t>
  </si>
  <si>
    <t xml:space="preserve">SME Finance Readiness — Smart Recommendation Engine</t>
  </si>
  <si>
    <t xml:space="preserve">Recommendations are rule-based management guidance from the simulator; they are not financing approval predictions.</t>
  </si>
  <si>
    <t xml:space="preserve">CURRENT PRIORITIES</t>
  </si>
  <si>
    <t xml:space="preserve">Trigger / Evidence</t>
  </si>
  <si>
    <t xml:space="preserve">Target / Next Step</t>
  </si>
  <si>
    <t xml:space="preserve">High</t>
  </si>
  <si>
    <t xml:space="preserve">Current ratio &lt; 1.0</t>
  </si>
  <si>
    <t xml:space="preserve">Strengthen liquid current assets and/or reduce short-term liabilities.</t>
  </si>
  <si>
    <t xml:space="preserve">Work toward current ratio ≥ 1.0, then build further buffer.</t>
  </si>
  <si>
    <t xml:space="preserve">Weak short-term liquidity can constrain routine payments and financing resilience.</t>
  </si>
  <si>
    <t xml:space="preserve">Calculations!C5</t>
  </si>
  <si>
    <t xml:space="preserve">Medium</t>
  </si>
  <si>
    <t xml:space="preserve">Current ratio 1.0–1.49</t>
  </si>
  <si>
    <t xml:space="preserve">Build a stronger working-capital buffer and monitor near-term obligations.</t>
  </si>
  <si>
    <t xml:space="preserve">Move toward ≥ 1.5 where operationally feasible.</t>
  </si>
  <si>
    <t xml:space="preserve">Provides additional room against short-term cash pressure.</t>
  </si>
  <si>
    <t xml:space="preserve">Operating margin &lt; 8%</t>
  </si>
  <si>
    <t xml:space="preserve">Review major operating costs, pricing and product/service margins.</t>
  </si>
  <si>
    <t xml:space="preserve">Set a realistic margin-improvement target and review monthly.</t>
  </si>
  <si>
    <t xml:space="preserve">Recurring operating cash generation supports resilience and debt service.</t>
  </si>
  <si>
    <t xml:space="preserve">Calculations!C6</t>
  </si>
  <si>
    <t xml:space="preserve">Operating margin 8%–14.99%</t>
  </si>
  <si>
    <t xml:space="preserve">Improve cost efficiency and pricing discipline.</t>
  </si>
  <si>
    <t xml:space="preserve">Track margin monthly and investigate adverse variance.</t>
  </si>
  <si>
    <t xml:space="preserve">Moderate profitability can limit internally generated funds.</t>
  </si>
  <si>
    <t xml:space="preserve">Debt/assets &gt; 50%</t>
  </si>
  <si>
    <t xml:space="preserve">Prioritize debt reduction and avoid unnecessary additional borrowing.</t>
  </si>
  <si>
    <t xml:space="preserve">Prepare a debt-reduction plan and review maturity structure.</t>
  </si>
  <si>
    <t xml:space="preserve">Higher leverage can increase financing pressure and vulnerability to shocks.</t>
  </si>
  <si>
    <t xml:space="preserve">Calculations!C7</t>
  </si>
  <si>
    <t xml:space="preserve">Debt/assets 30%–50%</t>
  </si>
  <si>
    <t xml:space="preserve">Monitor leverage before taking additional debt.</t>
  </si>
  <si>
    <t xml:space="preserve">Assess incremental debt against cash generation and repayment capacity.</t>
  </si>
  <si>
    <t xml:space="preserve">Debt should remain aligned with sustainable repayment capacity.</t>
  </si>
  <si>
    <t xml:space="preserve">Cash Flow</t>
  </si>
  <si>
    <t xml:space="preserve">Cash-flow coverage &lt; 1.0</t>
  </si>
  <si>
    <t xml:space="preserve">Improve collections, reduce avoidable outflows, and increase monitoring frequency.</t>
  </si>
  <si>
    <t xml:space="preserve">Create a 13-week cash-flow forecast and weekly review.</t>
  </si>
  <si>
    <t xml:space="preserve">Cash flow is central to small-business repayment capacity.</t>
  </si>
  <si>
    <t xml:space="preserve">Calculations!C9</t>
  </si>
  <si>
    <t xml:space="preserve">Cash-flow coverage 1.0–1.24</t>
  </si>
  <si>
    <t xml:space="preserve">Strengthen collections and cash buffers.</t>
  </si>
  <si>
    <t xml:space="preserve">Track receivables/payables and maintain a rolling cash forecast.</t>
  </si>
  <si>
    <t xml:space="preserve">A narrow cash surplus leaves less room for unexpected shocks.</t>
  </si>
  <si>
    <t xml:space="preserve">Reserve &lt; 1.5 months</t>
  </si>
  <si>
    <t xml:space="preserve">Build an emergency liquidity reserve gradually.</t>
  </si>
  <si>
    <t xml:space="preserve">Set a monthly reserve-building target.</t>
  </si>
  <si>
    <t xml:space="preserve">A cash buffer helps absorb temporary cash-flow disruptions.</t>
  </si>
  <si>
    <t xml:space="preserve">Inputs!C19</t>
  </si>
  <si>
    <t xml:space="preserve">Reserve 1.5–2.99 months</t>
  </si>
  <si>
    <t xml:space="preserve">Work toward a stronger reserve.</t>
  </si>
  <si>
    <t xml:space="preserve">Set a target of 3 months where feasible.</t>
  </si>
  <si>
    <t xml:space="preserve">Greater liquidity can improve resilience to temporary disruptions.</t>
  </si>
  <si>
    <t xml:space="preserve">Debt Service</t>
  </si>
  <si>
    <t xml:space="preserve">Cash-flow DSCR proxy &lt; 1.0</t>
  </si>
  <si>
    <t xml:space="preserve">Reduce debt-service pressure and/or strengthen operating cash generation.</t>
  </si>
  <si>
    <t xml:space="preserve">Review repayment schedule and avoid new debt until coverage improves.</t>
  </si>
  <si>
    <t xml:space="preserve">Cash generated before debt service is insufficient relative to recurring debt payment.</t>
  </si>
  <si>
    <t xml:space="preserve">Cash-flow DSCR proxy 1.0–1.49</t>
  </si>
  <si>
    <t xml:space="preserve">Improve recurring cash generation before adding significant debt.</t>
  </si>
  <si>
    <t xml:space="preserve">Target ≥ 1.5 where feasible and stress-test repayments.</t>
  </si>
  <si>
    <t xml:space="preserve">Provides a larger buffer over scheduled debt payments.</t>
  </si>
  <si>
    <t xml:space="preserve">Records</t>
  </si>
  <si>
    <t xml:space="preserve">Recordkeeping practices &lt; 60%</t>
  </si>
  <si>
    <t xml:space="preserve">Formalize accounting records, statements, banking separation and regular updates.</t>
  </si>
  <si>
    <t xml:space="preserve">Complete missing practices and maintain a monthly documentation routine.</t>
  </si>
  <si>
    <t xml:space="preserve">Reliable records reduce information gaps and improve financial transparency.</t>
  </si>
  <si>
    <t xml:space="preserve">Calculations!C12</t>
  </si>
  <si>
    <t xml:space="preserve">Recordkeeping practices 60%–84.99%</t>
  </si>
  <si>
    <t xml:space="preserve">Close remaining documentation gaps.</t>
  </si>
  <si>
    <t xml:space="preserve">Prioritize financial statements, regular updates and separation of business/personal finances.</t>
  </si>
  <si>
    <t xml:space="preserve">More complete records improve decision support and financing documentation.</t>
  </si>
  <si>
    <t xml:space="preserve">Planning</t>
  </si>
  <si>
    <t xml:space="preserve">Planning practices &lt; 60%</t>
  </si>
  <si>
    <t xml:space="preserve">Introduce budgeting, forecasts, targets and contingency planning.</t>
  </si>
  <si>
    <t xml:space="preserve">Create an annual budget plus rolling monthly forecast.</t>
  </si>
  <si>
    <t xml:space="preserve">Planning helps management anticipate financing and liquidity needs.</t>
  </si>
  <si>
    <t xml:space="preserve">Calculations!C13</t>
  </si>
  <si>
    <t xml:space="preserve">Planning practices 60%–84.99%</t>
  </si>
  <si>
    <t xml:space="preserve">Make planning and variance review more consistent.</t>
  </si>
  <si>
    <t xml:space="preserve">Review actual vs budget monthly and update forecasts.</t>
  </si>
  <si>
    <t xml:space="preserve">Regular planning improves financial control and visibility.</t>
  </si>
  <si>
    <t xml:space="preserve">How to read the engine</t>
  </si>
  <si>
    <t xml:space="preserve">The live rule-based recommendation table is linked to the simulator's current indicators. Thresholds are prototype management rules, not lending standards.</t>
  </si>
  <si>
    <t xml:space="preserve">Evidence note</t>
  </si>
  <si>
    <t xml:space="preserve">The framework uses financial health, cash-flow conditions, debt capacity and management practices because SME finance access is affected by financial condition, information asymmetry, documentation and cash-flow risk.</t>
  </si>
  <si>
    <t xml:space="preserve">References: OECD (2026), Financing SMEs and Entrepreneurs 2026; U.S. OCC, Small Business Lending guidance.</t>
  </si>
  <si>
    <t xml:space="preserve">Live Recommendation</t>
  </si>
  <si>
    <t xml:space="preserve">SME Finance Readiness — What-If Improvement Simulator</t>
  </si>
  <si>
    <t xml:space="preserve">Change the blue Scenario Value cells to test hypothetical improvements. The scenario mirrors the core scoring engine. Results are indicative internal simulations, not lender decisions, financing forecasts, or credit approvals.</t>
  </si>
  <si>
    <t xml:space="preserve">Scenario Value</t>
  </si>
  <si>
    <t xml:space="preserve">Direction</t>
  </si>
  <si>
    <t xml:space="preserve">Scenario Effect</t>
  </si>
  <si>
    <t xml:space="preserve">Notes</t>
  </si>
  <si>
    <t xml:space="preserve">Annual Revenue</t>
  </si>
  <si>
    <t xml:space="preserve">PKR/year</t>
  </si>
  <si>
    <t xml:space="preserve">Higher</t>
  </si>
  <si>
    <t xml:space="preserve">Scenario input</t>
  </si>
  <si>
    <t xml:space="preserve">Annual Operating Expenses</t>
  </si>
  <si>
    <t xml:space="preserve">Lower</t>
  </si>
  <si>
    <t xml:space="preserve">Total Assets</t>
  </si>
  <si>
    <t xml:space="preserve">Current Assets</t>
  </si>
  <si>
    <t xml:space="preserve">Current Liabilities</t>
  </si>
  <si>
    <t xml:space="preserve">Total Debt</t>
  </si>
  <si>
    <t xml:space="preserve">Cash &amp; Cash Equivalents</t>
  </si>
  <si>
    <t xml:space="preserve">Context only</t>
  </si>
  <si>
    <t xml:space="preserve">Monthly Cash Inflow</t>
  </si>
  <si>
    <t xml:space="preserve">PKR/month</t>
  </si>
  <si>
    <t xml:space="preserve">Cash flow</t>
  </si>
  <si>
    <t xml:space="preserve">Monthly Cash Outflow</t>
  </si>
  <si>
    <t xml:space="preserve">Monthly Debt Payment</t>
  </si>
  <si>
    <t xml:space="preserve">Debt service</t>
  </si>
  <si>
    <t xml:space="preserve">months</t>
  </si>
  <si>
    <t xml:space="preserve">Cash resilience</t>
  </si>
  <si>
    <t xml:space="preserve">Cash-flow Monitoring Frequency</t>
  </si>
  <si>
    <t xml:space="preserve">response</t>
  </si>
  <si>
    <t xml:space="preserve">More frequent</t>
  </si>
  <si>
    <t xml:space="preserve">Cash-flow management</t>
  </si>
  <si>
    <t xml:space="preserve">Management-Practice Scenario Inputs</t>
  </si>
  <si>
    <t xml:space="preserve">Practice</t>
  </si>
  <si>
    <t xml:space="preserve">Formal accounting records</t>
  </si>
  <si>
    <t xml:space="preserve">Business/personal finances separated</t>
  </si>
  <si>
    <t xml:space="preserve">At least 2 years of records</t>
  </si>
  <si>
    <t xml:space="preserve">Scenario Results</t>
  </si>
  <si>
    <t xml:space="preserve">Higher score = stronger modeled readiness</t>
  </si>
  <si>
    <t xml:space="preserve">Prototype classification</t>
  </si>
  <si>
    <t xml:space="preserve">Monthly inflow / monthly outflow</t>
  </si>
  <si>
    <t xml:space="preserve">Months of reserve</t>
  </si>
  <si>
    <t xml:space="preserve">Cash available / recurring debt payment</t>
  </si>
  <si>
    <t xml:space="preserve">Share of recordkeeping practices</t>
  </si>
  <si>
    <t xml:space="preserve">Share of planning practices</t>
  </si>
  <si>
    <t xml:space="preserve">Methodology / Quality Note</t>
  </si>
  <si>
    <t xml:space="preserve">The What-If engine uses the same 100-point prototype scoring rules as the main model. Scenario inputs now include total assets, current assets and current liabilities so liquidity and leverage are not approximated from unrelated variables. Zero-denominator cases are treated conservatively as 0 for the affected metric. The debt-service measure remains a cash-flow proxy, not formal lender DSCR.</t>
  </si>
  <si>
    <t xml:space="preserve">SME Finance Readiness Simulator — Quality Control &amp; Validation</t>
  </si>
  <si>
    <t xml:space="preserve">Document structural, formula, edge-case and scenario tests performed on the final prototype.</t>
  </si>
  <si>
    <t xml:space="preserve">Test</t>
  </si>
  <si>
    <t xml:space="preserve">Expected</t>
  </si>
  <si>
    <t xml:space="preserve">Observed / Design</t>
  </si>
  <si>
    <t xml:space="preserve">Scope</t>
  </si>
  <si>
    <t xml:space="preserve">86.24</t>
  </si>
  <si>
    <t xml:space="preserve">Matches original V1 test case</t>
  </si>
  <si>
    <t xml:space="preserve">PASS</t>
  </si>
  <si>
    <t xml:space="preserve">Core scoring</t>
  </si>
  <si>
    <t xml:space="preserve">Preserves the established baseline.</t>
  </si>
  <si>
    <t xml:space="preserve">Strong scenario</t>
  </si>
  <si>
    <t xml:space="preserve">≤100 and higher than baseline</t>
  </si>
  <si>
    <t xml:space="preserve">Designed to reach 100.00 with all strong inputs</t>
  </si>
  <si>
    <t xml:space="preserve">What-If</t>
  </si>
  <si>
    <t xml:space="preserve">Scenario mirrors the core scoring engine.</t>
  </si>
  <si>
    <t xml:space="preserve">Weak scenario</t>
  </si>
  <si>
    <t xml:space="preserve">No formula errors; low score</t>
  </si>
  <si>
    <t xml:space="preserve">Expected ~9.67 with stress-test inputs</t>
  </si>
  <si>
    <t xml:space="preserve">Negative profitability and cash flow are bounded safely.</t>
  </si>
  <si>
    <t xml:space="preserve">Zero-denominator case</t>
  </si>
  <si>
    <t xml:space="preserve">No #DIV/0! errors</t>
  </si>
  <si>
    <t xml:space="preserve">All affected ratios return 0</t>
  </si>
  <si>
    <t xml:space="preserve">Edge case</t>
  </si>
  <si>
    <t xml:space="preserve">Conservative handling for missing/zero denominators.</t>
  </si>
  <si>
    <t xml:space="preserve">What-If liquidity</t>
  </si>
  <si>
    <t xml:space="preserve">Uses scenario current assets/current liabilities</t>
  </si>
  <si>
    <t xml:space="preserve">Explicit scenario inputs added</t>
  </si>
  <si>
    <t xml:space="preserve">Fixes the prior cash-as-current-ratio approximation.</t>
  </si>
  <si>
    <t xml:space="preserve">What-If leverage</t>
  </si>
  <si>
    <t xml:space="preserve">Uses scenario debt/total assets</t>
  </si>
  <si>
    <t xml:space="preserve">No hidden dependence on current workbook values.</t>
  </si>
  <si>
    <t xml:space="preserve">Debt-service proxy</t>
  </si>
  <si>
    <t xml:space="preserve">Uses (inflow-outflow)/debt payment</t>
  </si>
  <si>
    <t xml:space="preserve">Core and scenario formulas aligned</t>
  </si>
  <si>
    <t xml:space="preserve">Core + What-If</t>
  </si>
  <si>
    <t xml:space="preserve">Clearly labeled as proxy, not formal DSCR.</t>
  </si>
  <si>
    <t xml:space="preserve">Executive dashboard priority</t>
  </si>
  <si>
    <t xml:space="preserve">Points to live recommendation engine</t>
  </si>
  <si>
    <t xml:space="preserve">Uses Recommendations rows 7:22</t>
  </si>
  <si>
    <t xml:space="preserve">Dashboard</t>
  </si>
  <si>
    <t xml:space="preserve">Fixes stale row references.</t>
  </si>
  <si>
    <t xml:space="preserve">Recommendation table</t>
  </si>
  <si>
    <t xml:space="preserve">Live status/action formulas</t>
  </si>
  <si>
    <t xml:space="preserve">Rows 35:42 linked to current calculations</t>
  </si>
  <si>
    <t xml:space="preserve">Recommendations</t>
  </si>
  <si>
    <t xml:space="preserve">Management guidance remains non-credit-decision guidance.</t>
  </si>
  <si>
    <t xml:space="preserve">Score bound</t>
  </si>
  <si>
    <t xml:space="preserve">0–100</t>
  </si>
  <si>
    <t xml:space="preserve">Core and scenario formulas cap component scores</t>
  </si>
  <si>
    <t xml:space="preserve">Prototype score cannot exceed 100 under valid inputs.</t>
  </si>
  <si>
    <t xml:space="preserve">Final QC conclusion</t>
  </si>
  <si>
    <t xml:space="preserve">The final workbook retains the original scoring engine, corrects the What-If scenario logic, adds explicit scenario inputs for liquidity and leverage, fixes dashboard recommendation references, and documents edge-case handling. The model remains an internal prototype requiring empirical validation before any real lending, investment, or regulatory use.</t>
  </si>
  <si>
    <t xml:space="preserve">Important methodological limits</t>
  </si>
  <si>
    <t xml:space="preserve">Weights, thresholds and classification bands are transparent prototype design choices. The debt-service indicator is a cash-flow proxy. What-If outputs are scenario illustrations, not forecasts.</t>
  </si>
  <si>
    <t xml:space="preserve">Demo-data note</t>
  </si>
  <si>
    <t xml:space="preserve">The preloaded Inputs sheet contains illustrative values only, chosen to demonstrate the simulator. They are not a real SME's financial records.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</si>
</sst>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@"/>
    <numFmt numFmtId="167" formatCode="0%"/>
    <numFmt numFmtId="168" formatCode="0.0"/>
    <numFmt numFmtId="169" formatCode="#,##0"/>
    <numFmt numFmtId="170" formatCode="0.0%"/>
    <numFmt numFmtId="171" formatCode="#,##0.00"/>
    <numFmt numFmtId="172" formatCode="0.0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i val="true"/>
      <sz val="10"/>
      <color rgb="FF333333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8"/>
      <color rgb="FF17365D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7365D"/>
      <name val="Cambria"/>
      <family val="0"/>
      <charset val="1"/>
    </font>
    <font>
      <i val="true"/>
      <sz val="11"/>
      <color rgb="FF333333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name val="Cambria"/>
      <family val="0"/>
      <charset val="1"/>
    </font>
    <font>
      <i val="true"/>
      <sz val="11"/>
      <color rgb="FF7F6000"/>
      <name val="Cambria"/>
      <family val="0"/>
      <charset val="1"/>
    </font>
    <font>
      <b val="true"/>
      <sz val="15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20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4F81BD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1F4E78"/>
        <bgColor rgb="FF17365D"/>
      </patternFill>
    </fill>
    <fill>
      <patternFill patternType="solid">
        <fgColor rgb="FF5B9BD5"/>
        <bgColor rgb="FF4F81BD"/>
      </patternFill>
    </fill>
    <fill>
      <patternFill patternType="solid">
        <fgColor rgb="FFDDEBF7"/>
        <bgColor rgb="FFD9EAF7"/>
      </patternFill>
    </fill>
    <fill>
      <patternFill patternType="solid">
        <fgColor rgb="FFE2F0D9"/>
        <bgColor rgb="FFDDEBF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5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5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0" fillId="5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4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78787"/>
      <rgbColor rgb="FF5B9BD5"/>
      <rgbColor rgb="FF993366"/>
      <rgbColor rgb="FFFFF2CC"/>
      <rgbColor rgb="FFD9EA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D9E1F2"/>
      <rgbColor rgb="FFD9D9D9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Readiness by Dimension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'Executive Dashboard'!C11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Dashboard'!$B$12:$B$16</c:f>
              <c:strCache>
                <c:ptCount val="5"/>
                <c:pt idx="0">
                  <c:v>Financial Health</c:v>
                </c:pt>
                <c:pt idx="1">
                  <c:v>Cash-Flow Management</c:v>
                </c:pt>
                <c:pt idx="2">
                  <c:v>Financial Records &amp; Transparency</c:v>
                </c:pt>
                <c:pt idx="3">
                  <c:v>Debt &amp; Repayment Capacity</c:v>
                </c:pt>
                <c:pt idx="4">
                  <c:v>Financial Planning</c:v>
                </c:pt>
              </c:strCache>
            </c:strRef>
          </c:cat>
          <c:val>
            <c:numRef>
              <c:f>'Executive Dashboard'!$C$12:$C$16</c:f>
              <c:numCache>
                <c:formatCode>General</c:formatCode>
                <c:ptCount val="5"/>
                <c:pt idx="0">
                  <c:v>21.875</c:v>
                </c:pt>
                <c:pt idx="1">
                  <c:v>17.2222222222222</c:v>
                </c:pt>
                <c:pt idx="2">
                  <c:v>17.1428571428571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</c:ser>
        <c:gapWidth val="150"/>
        <c:overlap val="0"/>
        <c:axId val="96404772"/>
        <c:axId val="1755124"/>
      </c:barChart>
      <c:catAx>
        <c:axId val="9640477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55124"/>
        <c:crosses val="autoZero"/>
        <c:auto val="1"/>
        <c:lblAlgn val="ctr"/>
        <c:lblOffset val="100"/>
        <c:noMultiLvlLbl val="0"/>
      </c:catAx>
      <c:valAx>
        <c:axId val="17551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4047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Readiness by Dimension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Diagnostics!C19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Diagnostics!$A$20:$A$24</c:f>
              <c:strCache>
                <c:ptCount val="5"/>
                <c:pt idx="0">
                  <c:v>Financial Health</c:v>
                </c:pt>
                <c:pt idx="1">
                  <c:v>Cash-Flow Management</c:v>
                </c:pt>
                <c:pt idx="2">
                  <c:v>Financial Records &amp; Transparency</c:v>
                </c:pt>
                <c:pt idx="3">
                  <c:v>Debt &amp; Repayment Capacity</c:v>
                </c:pt>
                <c:pt idx="4">
                  <c:v>Financial Planning</c:v>
                </c:pt>
              </c:strCache>
            </c:strRef>
          </c:cat>
          <c:val>
            <c:numRef>
              <c:f>Diagnostics!$C$20:$C$24</c:f>
              <c:numCache>
                <c:formatCode>General</c:formatCode>
                <c:ptCount val="5"/>
                <c:pt idx="0">
                  <c:v>21.875</c:v>
                </c:pt>
                <c:pt idx="1">
                  <c:v>17.2222222222222</c:v>
                </c:pt>
                <c:pt idx="2">
                  <c:v>17.1428571428571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</c:ser>
        <c:gapWidth val="150"/>
        <c:overlap val="0"/>
        <c:axId val="74960105"/>
        <c:axId val="95429685"/>
      </c:barChart>
      <c:catAx>
        <c:axId val="749601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Dimension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429685"/>
        <c:crosses val="autoZero"/>
        <c:auto val="1"/>
        <c:lblAlgn val="ctr"/>
        <c:lblOffset val="100"/>
        <c:noMultiLvlLbl val="0"/>
      </c:catAx>
      <c:valAx>
        <c:axId val="95429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9601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Readiness by Dimension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Diagnostics!$A$20:$A$24</c:f>
              <c:strCache>
                <c:ptCount val="5"/>
                <c:pt idx="0">
                  <c:v>Financial Health</c:v>
                </c:pt>
                <c:pt idx="1">
                  <c:v>Cash-Flow Management</c:v>
                </c:pt>
                <c:pt idx="2">
                  <c:v>Financial Records &amp; Transparency</c:v>
                </c:pt>
                <c:pt idx="3">
                  <c:v>Debt &amp; Repayment Capacity</c:v>
                </c:pt>
                <c:pt idx="4">
                  <c:v>Financial Planning</c:v>
                </c:pt>
              </c:strCache>
            </c:strRef>
          </c:cat>
          <c:val>
            <c:numRef>
              <c:f>Diagnostics!$C$20:$C$24</c:f>
              <c:numCache>
                <c:formatCode>General</c:formatCode>
                <c:ptCount val="5"/>
                <c:pt idx="0">
                  <c:v>21.875</c:v>
                </c:pt>
                <c:pt idx="1">
                  <c:v>17.2222222222222</c:v>
                </c:pt>
                <c:pt idx="2">
                  <c:v>17.1428571428571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</c:ser>
        <c:gapWidth val="150"/>
        <c:overlap val="0"/>
        <c:axId val="66061831"/>
        <c:axId val="56854532"/>
      </c:barChart>
      <c:catAx>
        <c:axId val="660618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Dimension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854532"/>
        <c:crosses val="autoZero"/>
        <c:auto val="1"/>
        <c:lblAlgn val="ctr"/>
        <c:lblOffset val="100"/>
        <c:noMultiLvlLbl val="0"/>
      </c:catAx>
      <c:valAx>
        <c:axId val="56854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061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Current vs Scenario Readiness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'What-If V2'!$A$38</c:f>
              <c:strCache>
                <c:ptCount val="1"/>
                <c:pt idx="0">
                  <c:v>Overall Readiness Score</c:v>
                </c:pt>
              </c:strCache>
            </c:strRef>
          </c:cat>
          <c:val>
            <c:numRef>
              <c:f>'What-If V2'!$B$38:$C$38</c:f>
              <c:numCache>
                <c:formatCode>0.00</c:formatCode>
                <c:ptCount val="2"/>
                <c:pt idx="0">
                  <c:v>86.2400793650794</c:v>
                </c:pt>
                <c:pt idx="1">
                  <c:v>86.2400793650794</c:v>
                </c:pt>
              </c:numCache>
            </c:numRef>
          </c:val>
        </c:ser>
        <c:gapWidth val="150"/>
        <c:overlap val="0"/>
        <c:axId val="43163020"/>
        <c:axId val="90629875"/>
      </c:barChart>
      <c:catAx>
        <c:axId val="431630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629875"/>
        <c:crosses val="autoZero"/>
        <c:auto val="1"/>
        <c:lblAlgn val="ctr"/>
        <c:lblOffset val="100"/>
        <c:noMultiLvlLbl val="0"/>
      </c:catAx>
      <c:valAx>
        <c:axId val="90629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163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0</xdr:rowOff>
    </xdr:from>
    <xdr:to>
      <xdr:col>7</xdr:col>
      <xdr:colOff>850680</xdr:colOff>
      <xdr:row>19</xdr:row>
      <xdr:rowOff>33840</xdr:rowOff>
    </xdr:to>
    <xdr:graphicFrame>
      <xdr:nvGraphicFramePr>
        <xdr:cNvPr id="0" name="Chart 1"/>
        <xdr:cNvGraphicFramePr/>
      </xdr:nvGraphicFramePr>
      <xdr:xfrm>
        <a:off x="5709240" y="26290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13</xdr:col>
      <xdr:colOff>345960</xdr:colOff>
      <xdr:row>11</xdr:row>
      <xdr:rowOff>67320</xdr:rowOff>
    </xdr:to>
    <xdr:graphicFrame>
      <xdr:nvGraphicFramePr>
        <xdr:cNvPr id="1" name="Chart 1"/>
        <xdr:cNvGraphicFramePr/>
      </xdr:nvGraphicFramePr>
      <xdr:xfrm>
        <a:off x="13603680" y="380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18</xdr:row>
      <xdr:rowOff>424440</xdr:rowOff>
    </xdr:from>
    <xdr:to>
      <xdr:col>11</xdr:col>
      <xdr:colOff>111600</xdr:colOff>
      <xdr:row>27</xdr:row>
      <xdr:rowOff>41400</xdr:rowOff>
    </xdr:to>
    <xdr:graphicFrame>
      <xdr:nvGraphicFramePr>
        <xdr:cNvPr id="2" name="Chart 1"/>
        <xdr:cNvGraphicFramePr/>
      </xdr:nvGraphicFramePr>
      <xdr:xfrm>
        <a:off x="14238000" y="62866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35</xdr:row>
      <xdr:rowOff>116280</xdr:rowOff>
    </xdr:from>
    <xdr:to>
      <xdr:col>7</xdr:col>
      <xdr:colOff>2049120</xdr:colOff>
      <xdr:row>46</xdr:row>
      <xdr:rowOff>165960</xdr:rowOff>
    </xdr:to>
    <xdr:graphicFrame>
      <xdr:nvGraphicFramePr>
        <xdr:cNvPr id="3" name="Chart 1"/>
        <xdr:cNvGraphicFramePr/>
      </xdr:nvGraphicFramePr>
      <xdr:xfrm>
        <a:off x="9163080" y="697248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6" min="3" style="0" width="17"/>
    <col collapsed="false" customWidth="true" hidden="false" outlineLevel="0" max="8" min="7" style="0" width="22"/>
    <col collapsed="false" customWidth="true" hidden="false" outlineLevel="0" max="9" min="9" style="0" width="3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21.7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</row>
    <row r="6" customFormat="false" ht="21.75" hidden="false" customHeight="true" outlineLevel="0" collapsed="false">
      <c r="B6" s="3"/>
      <c r="C6" s="3"/>
      <c r="D6" s="3"/>
      <c r="E6" s="3"/>
      <c r="F6" s="3"/>
      <c r="G6" s="3"/>
    </row>
    <row r="7" customFormat="false" ht="21.75" hidden="false" customHeight="true" outlineLevel="0" collapsed="false">
      <c r="B7" s="4" t="n">
        <f aca="false">Scoring!E15</f>
        <v>86.2400793650794</v>
      </c>
      <c r="C7" s="4"/>
      <c r="D7" s="5" t="str">
        <f aca="false">Scoring!E16</f>
        <v>Ready</v>
      </c>
      <c r="E7" s="5"/>
      <c r="F7" s="5" t="str">
        <f aca="false">IFERROR(INDEX(Recommendations!$B$7:$B$22,MATCH("High",Recommendations!$A$7:$A$22,0)),"No High Priority")</f>
        <v>Liquidity</v>
      </c>
      <c r="G7" s="5"/>
    </row>
    <row r="8" customFormat="false" ht="21.75" hidden="false" customHeight="true" outlineLevel="0" collapsed="false">
      <c r="B8" s="4"/>
      <c r="C8" s="4"/>
      <c r="D8" s="5"/>
      <c r="E8" s="5"/>
      <c r="F8" s="5"/>
      <c r="G8" s="5"/>
    </row>
    <row r="9" customFormat="false" ht="21.75" hidden="false" customHeight="true" outlineLevel="0" collapsed="false"/>
    <row r="10" customFormat="false" ht="21.75" hidden="false" customHeight="true" outlineLevel="0" collapsed="false">
      <c r="B10" s="6" t="s">
        <v>5</v>
      </c>
      <c r="C10" s="6"/>
      <c r="D10" s="6"/>
      <c r="E10" s="6"/>
      <c r="F10" s="6"/>
      <c r="G10" s="6"/>
      <c r="H10" s="6"/>
    </row>
    <row r="11" customFormat="false" ht="21.75" hidden="false" customHeight="true" outlineLevel="0" collapsed="false">
      <c r="B11" s="7" t="s">
        <v>6</v>
      </c>
      <c r="C11" s="7" t="s">
        <v>7</v>
      </c>
      <c r="D11" s="7" t="s">
        <v>8</v>
      </c>
      <c r="E11" s="7" t="s">
        <v>9</v>
      </c>
    </row>
    <row r="12" customFormat="false" ht="21.75" hidden="false" customHeight="true" outlineLevel="0" collapsed="false">
      <c r="B12" s="8" t="s">
        <v>10</v>
      </c>
      <c r="C12" s="9" t="n">
        <f aca="false">SUM(Scoring!E4:E6)</f>
        <v>21.875</v>
      </c>
      <c r="D12" s="8" t="n">
        <v>25</v>
      </c>
      <c r="E12" s="10" t="n">
        <f aca="false">C12/D12</f>
        <v>0.875</v>
      </c>
    </row>
    <row r="13" customFormat="false" ht="21.75" hidden="false" customHeight="true" outlineLevel="0" collapsed="false">
      <c r="B13" s="8" t="s">
        <v>11</v>
      </c>
      <c r="C13" s="9" t="n">
        <f aca="false">SUM(Scoring!E7:E9)</f>
        <v>17.2222222222222</v>
      </c>
      <c r="D13" s="8" t="n">
        <v>20</v>
      </c>
      <c r="E13" s="10" t="n">
        <f aca="false">C13/D13</f>
        <v>0.861111111111111</v>
      </c>
    </row>
    <row r="14" customFormat="false" ht="21.75" hidden="false" customHeight="true" outlineLevel="0" collapsed="false">
      <c r="B14" s="8" t="s">
        <v>12</v>
      </c>
      <c r="C14" s="9" t="n">
        <f aca="false">Scoring!E10</f>
        <v>17.1428571428571</v>
      </c>
      <c r="D14" s="8" t="n">
        <v>20</v>
      </c>
      <c r="E14" s="10" t="n">
        <f aca="false">C14/D14</f>
        <v>0.857142857142857</v>
      </c>
    </row>
    <row r="15" customFormat="false" ht="21.75" hidden="false" customHeight="true" outlineLevel="0" collapsed="false">
      <c r="B15" s="8" t="s">
        <v>13</v>
      </c>
      <c r="C15" s="9" t="n">
        <f aca="false">Scoring!E11</f>
        <v>20</v>
      </c>
      <c r="D15" s="8" t="n">
        <v>20</v>
      </c>
      <c r="E15" s="10" t="n">
        <f aca="false">C15/D15</f>
        <v>1</v>
      </c>
    </row>
    <row r="16" customFormat="false" ht="21.75" hidden="false" customHeight="true" outlineLevel="0" collapsed="false">
      <c r="B16" s="8" t="s">
        <v>14</v>
      </c>
      <c r="C16" s="9" t="n">
        <f aca="false">Scoring!E12</f>
        <v>10</v>
      </c>
      <c r="D16" s="8" t="n">
        <v>15</v>
      </c>
      <c r="E16" s="10" t="n">
        <f aca="false">C16/D16</f>
        <v>0.666666666666667</v>
      </c>
    </row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>
      <c r="B19" s="11" t="s">
        <v>15</v>
      </c>
      <c r="C19" s="11"/>
      <c r="D19" s="11"/>
      <c r="E19" s="11"/>
      <c r="F19" s="11"/>
      <c r="G19" s="11"/>
      <c r="H19" s="11"/>
    </row>
    <row r="20" customFormat="false" ht="21.75" hidden="false" customHeight="true" outlineLevel="0" collapsed="false">
      <c r="B20" s="12" t="s">
        <v>16</v>
      </c>
      <c r="C20" s="12" t="s">
        <v>17</v>
      </c>
      <c r="D20" s="12" t="s">
        <v>18</v>
      </c>
      <c r="E20" s="12" t="s">
        <v>16</v>
      </c>
      <c r="F20" s="12" t="s">
        <v>17</v>
      </c>
      <c r="G20" s="12" t="s">
        <v>18</v>
      </c>
    </row>
    <row r="21" customFormat="false" ht="21.75" hidden="false" customHeight="true" outlineLevel="0" collapsed="false">
      <c r="B21" s="13" t="s">
        <v>19</v>
      </c>
      <c r="C21" s="14" t="n">
        <f aca="false">Calculations!C5</f>
        <v>1.5</v>
      </c>
      <c r="D21" s="13" t="s">
        <v>20</v>
      </c>
      <c r="E21" s="13" t="s">
        <v>21</v>
      </c>
      <c r="F21" s="14" t="n">
        <f aca="false">Calculations!C6</f>
        <v>0.25</v>
      </c>
      <c r="G21" s="13" t="s">
        <v>22</v>
      </c>
    </row>
    <row r="22" customFormat="false" ht="21.75" hidden="false" customHeight="true" outlineLevel="0" collapsed="false">
      <c r="B22" s="13" t="s">
        <v>23</v>
      </c>
      <c r="C22" s="14" t="n">
        <f aca="false">Calculations!C7</f>
        <v>0.3125</v>
      </c>
      <c r="D22" s="13" t="s">
        <v>24</v>
      </c>
      <c r="E22" s="13" t="s">
        <v>25</v>
      </c>
      <c r="F22" s="14" t="n">
        <f aca="false">Calculations!C9</f>
        <v>1.33333333333333</v>
      </c>
      <c r="G22" s="13" t="s">
        <v>26</v>
      </c>
    </row>
    <row r="23" customFormat="false" ht="21.75" hidden="false" customHeight="true" outlineLevel="0" collapsed="false">
      <c r="B23" s="13" t="s">
        <v>27</v>
      </c>
      <c r="C23" s="14" t="n">
        <f aca="false">Calculations!C10</f>
        <v>2</v>
      </c>
      <c r="D23" s="13" t="s">
        <v>28</v>
      </c>
      <c r="E23" s="13" t="s">
        <v>29</v>
      </c>
      <c r="F23" s="14" t="n">
        <f aca="false">Calculations!C11</f>
        <v>3.73134328358209</v>
      </c>
      <c r="G23" s="13" t="s">
        <v>30</v>
      </c>
    </row>
    <row r="24" customFormat="false" ht="21.75" hidden="false" customHeight="true" outlineLevel="0" collapsed="false">
      <c r="B24" s="13" t="s">
        <v>31</v>
      </c>
      <c r="C24" s="14" t="n">
        <f aca="false">Calculations!C12</f>
        <v>0.857142857142857</v>
      </c>
      <c r="D24" s="13" t="s">
        <v>32</v>
      </c>
      <c r="E24" s="13" t="s">
        <v>33</v>
      </c>
      <c r="F24" s="14" t="n">
        <f aca="false">Calculations!C13</f>
        <v>0.666666666666667</v>
      </c>
      <c r="G24" s="13" t="s">
        <v>32</v>
      </c>
    </row>
    <row r="25" customFormat="false" ht="21.75" hidden="false" customHeight="true" outlineLevel="0" collapsed="false"/>
    <row r="26" customFormat="false" ht="21.75" hidden="false" customHeight="true" outlineLevel="0" collapsed="false">
      <c r="B26" s="11" t="s">
        <v>34</v>
      </c>
      <c r="C26" s="11"/>
      <c r="D26" s="11"/>
      <c r="E26" s="11"/>
      <c r="F26" s="11"/>
      <c r="G26" s="11"/>
      <c r="H26" s="11"/>
    </row>
    <row r="27" customFormat="false" ht="21.75" hidden="false" customHeight="true" outlineLevel="0" collapsed="false">
      <c r="B27" s="15" t="s">
        <v>35</v>
      </c>
      <c r="C27" s="16" t="n">
        <f aca="false">Scoring!E15</f>
        <v>86.2400793650794</v>
      </c>
    </row>
    <row r="28" customFormat="false" ht="21.75" hidden="false" customHeight="true" outlineLevel="0" collapsed="false">
      <c r="B28" s="15" t="s">
        <v>36</v>
      </c>
      <c r="C28" s="16" t="n">
        <f aca="false">'What-If V2'!C34</f>
        <v>0</v>
      </c>
    </row>
    <row r="29" customFormat="false" ht="21.75" hidden="false" customHeight="true" outlineLevel="0" collapsed="false">
      <c r="B29" s="15" t="s">
        <v>37</v>
      </c>
      <c r="C29" s="16" t="n">
        <f aca="false">'What-If V2'!D34</f>
        <v>0</v>
      </c>
    </row>
    <row r="30" customFormat="false" ht="21.75" hidden="false" customHeight="true" outlineLevel="0" collapsed="false">
      <c r="B30" s="15" t="s">
        <v>38</v>
      </c>
      <c r="C30" s="17" t="n">
        <f aca="false">'What-If V2'!C35</f>
        <v>0</v>
      </c>
    </row>
    <row r="31" customFormat="false" ht="21.75" hidden="false" customHeight="true" outlineLevel="0" collapsed="false"/>
    <row r="32" customFormat="false" ht="21.75" hidden="false" customHeight="true" outlineLevel="0" collapsed="false">
      <c r="B32" s="11" t="s">
        <v>39</v>
      </c>
      <c r="C32" s="11"/>
      <c r="D32" s="11"/>
      <c r="E32" s="11"/>
      <c r="F32" s="11"/>
      <c r="G32" s="11"/>
      <c r="H32" s="11"/>
    </row>
    <row r="33" customFormat="false" ht="21.75" hidden="false" customHeight="true" outlineLevel="0" collapsed="false">
      <c r="B33" s="12" t="s">
        <v>40</v>
      </c>
      <c r="C33" s="12" t="s">
        <v>41</v>
      </c>
      <c r="D33" s="12" t="s">
        <v>42</v>
      </c>
      <c r="E33" s="12" t="s">
        <v>43</v>
      </c>
    </row>
    <row r="34" customFormat="false" ht="21.75" hidden="false" customHeight="true" outlineLevel="0" collapsed="false">
      <c r="B34" s="18" t="str">
        <f aca="false">Recommendations!A35</f>
        <v>Liquidity</v>
      </c>
      <c r="C34" s="18" t="str">
        <f aca="false">Recommendations!C35</f>
        <v>Strong</v>
      </c>
      <c r="D34" s="18" t="str">
        <f aca="false">Recommendations!E35</f>
        <v>Low</v>
      </c>
      <c r="E34" s="18" t="str">
        <f aca="false">Recommendations!D35</f>
        <v>Maintain liquidity discipline.</v>
      </c>
      <c r="F34" s="18"/>
      <c r="G34" s="18"/>
      <c r="H34" s="18"/>
    </row>
    <row r="35" customFormat="false" ht="21.75" hidden="false" customHeight="true" outlineLevel="0" collapsed="false">
      <c r="B35" s="18" t="str">
        <f aca="false">Recommendations!A36</f>
        <v>Profitability</v>
      </c>
      <c r="C35" s="18" t="str">
        <f aca="false">Recommendations!C36</f>
        <v>Strong</v>
      </c>
      <c r="D35" s="18" t="str">
        <f aca="false">Recommendations!E36</f>
        <v>Low</v>
      </c>
      <c r="E35" s="18" t="str">
        <f aca="false">Recommendations!D36</f>
        <v>Protect operating margins while scaling.</v>
      </c>
      <c r="F35" s="18"/>
      <c r="G35" s="18"/>
      <c r="H35" s="18"/>
    </row>
    <row r="36" customFormat="false" ht="21.75" hidden="false" customHeight="true" outlineLevel="0" collapsed="false">
      <c r="B36" s="18" t="str">
        <f aca="false">Recommendations!A37</f>
        <v>Leverage</v>
      </c>
      <c r="C36" s="18" t="str">
        <f aca="false">Recommendations!C37</f>
        <v>Moderate</v>
      </c>
      <c r="D36" s="18" t="str">
        <f aca="false">Recommendations!E37</f>
        <v>Medium</v>
      </c>
      <c r="E36" s="18" t="str">
        <f aca="false">Recommendations!D37</f>
        <v>Monitor leverage before additional debt.</v>
      </c>
      <c r="F36" s="18"/>
      <c r="G36" s="18"/>
      <c r="H36" s="18"/>
    </row>
    <row r="37" customFormat="false" ht="21.75" hidden="false" customHeight="true" outlineLevel="0" collapsed="false">
      <c r="B37" s="18" t="str">
        <f aca="false">Recommendations!A38</f>
        <v>Cash Flow</v>
      </c>
      <c r="C37" s="18" t="str">
        <f aca="false">Recommendations!C38</f>
        <v>Strong</v>
      </c>
      <c r="D37" s="18" t="str">
        <f aca="false">Recommendations!E38</f>
        <v>Low</v>
      </c>
      <c r="E37" s="18" t="str">
        <f aca="false">Recommendations!D38</f>
        <v>Maintain regular cash-flow monitoring.</v>
      </c>
      <c r="F37" s="18"/>
      <c r="G37" s="18"/>
      <c r="H37" s="18"/>
    </row>
    <row r="38" customFormat="false" ht="21.75" hidden="false" customHeight="true" outlineLevel="0" collapsed="false">
      <c r="B38" s="18" t="str">
        <f aca="false">Recommendations!A39</f>
        <v>Cash Reserve</v>
      </c>
      <c r="C38" s="18" t="str">
        <f aca="false">Recommendations!C39</f>
        <v>Moderate</v>
      </c>
      <c r="D38" s="18" t="str">
        <f aca="false">Recommendations!E39</f>
        <v>Medium</v>
      </c>
      <c r="E38" s="18" t="str">
        <f aca="false">Recommendations!D39</f>
        <v>Work toward a stronger reserve.</v>
      </c>
      <c r="F38" s="18"/>
      <c r="G38" s="18"/>
      <c r="H38" s="18"/>
    </row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4.75" hidden="false" customHeight="true" outlineLevel="0" collapsed="false">
      <c r="B41" s="19" t="s">
        <v>44</v>
      </c>
      <c r="C41" s="19"/>
      <c r="D41" s="19"/>
      <c r="E41" s="19"/>
      <c r="F41" s="19"/>
      <c r="G41" s="19"/>
      <c r="H41" s="19"/>
    </row>
    <row r="42" customFormat="false" ht="24.75" hidden="false" customHeight="true" outlineLevel="0" collapsed="false">
      <c r="B42" s="19"/>
      <c r="C42" s="19"/>
      <c r="D42" s="19"/>
      <c r="E42" s="19"/>
      <c r="F42" s="19"/>
      <c r="G42" s="19"/>
      <c r="H42" s="19"/>
    </row>
    <row r="43" customFormat="false" ht="24.75" hidden="false" customHeight="true" outlineLevel="0" collapsed="false">
      <c r="B43" s="19"/>
      <c r="C43" s="19"/>
      <c r="D43" s="19"/>
      <c r="E43" s="19"/>
      <c r="F43" s="19"/>
      <c r="G43" s="19"/>
      <c r="H43" s="19"/>
    </row>
    <row r="44" customFormat="false" ht="21.75" hidden="false" customHeight="true" outlineLevel="0" collapsed="false">
      <c r="B44" s="0" t="s">
        <v>45</v>
      </c>
      <c r="C44" s="20" t="s">
        <v>46</v>
      </c>
      <c r="D44" s="20"/>
      <c r="E44" s="20"/>
      <c r="F44" s="20"/>
      <c r="G44" s="20"/>
    </row>
    <row r="45" customFormat="false" ht="21.75" hidden="false" customHeight="true" outlineLevel="0" collapsed="false">
      <c r="B45" s="21" t="s">
        <v>47</v>
      </c>
      <c r="C45" s="22" t="s">
        <v>48</v>
      </c>
    </row>
  </sheetData>
  <mergeCells count="19">
    <mergeCell ref="B2:H2"/>
    <mergeCell ref="B3:H3"/>
    <mergeCell ref="B5:C6"/>
    <mergeCell ref="D5:E6"/>
    <mergeCell ref="F5:G6"/>
    <mergeCell ref="B7:C8"/>
    <mergeCell ref="D7:E8"/>
    <mergeCell ref="F7:G8"/>
    <mergeCell ref="B10:H10"/>
    <mergeCell ref="B19:H19"/>
    <mergeCell ref="B26:H26"/>
    <mergeCell ref="B32:H32"/>
    <mergeCell ref="E34:H34"/>
    <mergeCell ref="E35:H35"/>
    <mergeCell ref="E36:H36"/>
    <mergeCell ref="E37:H37"/>
    <mergeCell ref="E38:H38"/>
    <mergeCell ref="B41:H43"/>
    <mergeCell ref="C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7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8" min="7" style="0" width="13"/>
  </cols>
  <sheetData>
    <row r="1" customFormat="false" ht="22.05" hidden="false" customHeight="false" outlineLevel="0" collapsed="false">
      <c r="A1" s="23" t="s">
        <v>49</v>
      </c>
      <c r="B1" s="23"/>
      <c r="C1" s="23"/>
      <c r="D1" s="23"/>
    </row>
    <row r="2" customFormat="false" ht="55.2" hidden="false" customHeight="false" outlineLevel="0" collapsed="false">
      <c r="A2" s="24" t="s">
        <v>50</v>
      </c>
    </row>
    <row r="4" customFormat="false" ht="15" hidden="false" customHeight="false" outlineLevel="0" collapsed="false">
      <c r="A4" s="25" t="s">
        <v>51</v>
      </c>
      <c r="B4" s="25" t="s">
        <v>52</v>
      </c>
      <c r="C4" s="25" t="s">
        <v>17</v>
      </c>
      <c r="D4" s="25" t="s">
        <v>53</v>
      </c>
    </row>
    <row r="5" customFormat="false" ht="15" hidden="false" customHeight="false" outlineLevel="0" collapsed="false">
      <c r="A5" s="26" t="s">
        <v>54</v>
      </c>
      <c r="B5" s="26" t="s">
        <v>55</v>
      </c>
      <c r="C5" s="27" t="n">
        <v>5</v>
      </c>
      <c r="D5" s="26" t="s">
        <v>56</v>
      </c>
    </row>
    <row r="6" customFormat="false" ht="15" hidden="false" customHeight="false" outlineLevel="0" collapsed="false">
      <c r="A6" s="26" t="s">
        <v>54</v>
      </c>
      <c r="B6" s="26" t="s">
        <v>57</v>
      </c>
      <c r="C6" s="27" t="n">
        <v>12</v>
      </c>
      <c r="D6" s="26" t="s">
        <v>58</v>
      </c>
    </row>
    <row r="7" customFormat="false" ht="15" hidden="false" customHeight="false" outlineLevel="0" collapsed="false">
      <c r="A7" s="26" t="s">
        <v>54</v>
      </c>
      <c r="B7" s="26" t="s">
        <v>59</v>
      </c>
      <c r="C7" s="28" t="n">
        <v>12000000</v>
      </c>
      <c r="D7" s="26" t="s">
        <v>60</v>
      </c>
    </row>
    <row r="8" customFormat="false" ht="15" hidden="false" customHeight="false" outlineLevel="0" collapsed="false">
      <c r="A8" s="26" t="s">
        <v>54</v>
      </c>
      <c r="B8" s="26" t="s">
        <v>61</v>
      </c>
      <c r="C8" s="28" t="n">
        <v>9000000</v>
      </c>
      <c r="D8" s="26" t="s">
        <v>60</v>
      </c>
    </row>
    <row r="9" customFormat="false" ht="15" hidden="false" customHeight="false" outlineLevel="0" collapsed="false">
      <c r="A9" s="26" t="s">
        <v>54</v>
      </c>
      <c r="B9" s="26" t="s">
        <v>62</v>
      </c>
      <c r="C9" s="28" t="n">
        <v>8000000</v>
      </c>
      <c r="D9" s="26" t="s">
        <v>60</v>
      </c>
    </row>
    <row r="10" customFormat="false" ht="15" hidden="false" customHeight="false" outlineLevel="0" collapsed="false">
      <c r="A10" s="26" t="s">
        <v>54</v>
      </c>
      <c r="B10" s="26" t="s">
        <v>63</v>
      </c>
      <c r="C10" s="28" t="n">
        <v>3000000</v>
      </c>
      <c r="D10" s="26" t="s">
        <v>60</v>
      </c>
    </row>
    <row r="11" customFormat="false" ht="15" hidden="false" customHeight="false" outlineLevel="0" collapsed="false">
      <c r="A11" s="26" t="s">
        <v>54</v>
      </c>
      <c r="B11" s="26" t="s">
        <v>64</v>
      </c>
      <c r="C11" s="28" t="n">
        <v>2000000</v>
      </c>
      <c r="D11" s="26" t="s">
        <v>60</v>
      </c>
    </row>
    <row r="12" customFormat="false" ht="15" hidden="false" customHeight="false" outlineLevel="0" collapsed="false">
      <c r="A12" s="26" t="s">
        <v>54</v>
      </c>
      <c r="B12" s="26" t="s">
        <v>65</v>
      </c>
      <c r="C12" s="28" t="n">
        <v>2500000</v>
      </c>
      <c r="D12" s="26" t="s">
        <v>60</v>
      </c>
    </row>
    <row r="13" customFormat="false" ht="15" hidden="false" customHeight="false" outlineLevel="0" collapsed="false">
      <c r="A13" s="26" t="s">
        <v>54</v>
      </c>
      <c r="B13" s="26" t="s">
        <v>66</v>
      </c>
      <c r="C13" s="28" t="n">
        <v>300000</v>
      </c>
      <c r="D13" s="26" t="s">
        <v>60</v>
      </c>
    </row>
    <row r="14" customFormat="false" ht="15" hidden="false" customHeight="false" outlineLevel="0" collapsed="false">
      <c r="A14" s="26" t="s">
        <v>54</v>
      </c>
      <c r="B14" s="26" t="s">
        <v>67</v>
      </c>
      <c r="C14" s="28" t="n">
        <v>500000</v>
      </c>
      <c r="D14" s="26" t="s">
        <v>60</v>
      </c>
    </row>
    <row r="15" customFormat="false" ht="15" hidden="false" customHeight="false" outlineLevel="0" collapsed="false">
      <c r="A15" s="26" t="s">
        <v>54</v>
      </c>
      <c r="B15" s="26" t="s">
        <v>68</v>
      </c>
      <c r="C15" s="28" t="n">
        <v>1200000</v>
      </c>
      <c r="D15" s="26" t="s">
        <v>60</v>
      </c>
    </row>
    <row r="16" customFormat="false" ht="15" hidden="false" customHeight="false" outlineLevel="0" collapsed="false">
      <c r="A16" s="26" t="s">
        <v>11</v>
      </c>
      <c r="B16" s="26" t="s">
        <v>69</v>
      </c>
      <c r="C16" s="28" t="n">
        <v>1000000</v>
      </c>
      <c r="D16" s="26" t="s">
        <v>60</v>
      </c>
    </row>
    <row r="17" customFormat="false" ht="15" hidden="false" customHeight="false" outlineLevel="0" collapsed="false">
      <c r="A17" s="26" t="s">
        <v>11</v>
      </c>
      <c r="B17" s="26" t="s">
        <v>70</v>
      </c>
      <c r="C17" s="28" t="n">
        <v>750000</v>
      </c>
      <c r="D17" s="26" t="s">
        <v>60</v>
      </c>
    </row>
    <row r="18" customFormat="false" ht="15" hidden="false" customHeight="false" outlineLevel="0" collapsed="false">
      <c r="A18" s="26" t="s">
        <v>11</v>
      </c>
      <c r="B18" s="26" t="s">
        <v>71</v>
      </c>
      <c r="C18" s="28" t="n">
        <v>67000</v>
      </c>
      <c r="D18" s="26" t="s">
        <v>60</v>
      </c>
    </row>
    <row r="19" customFormat="false" ht="15" hidden="false" customHeight="false" outlineLevel="0" collapsed="false">
      <c r="A19" s="26" t="s">
        <v>11</v>
      </c>
      <c r="B19" s="26" t="s">
        <v>72</v>
      </c>
      <c r="C19" s="27" t="n">
        <v>2</v>
      </c>
      <c r="D19" s="26" t="s">
        <v>28</v>
      </c>
    </row>
    <row r="20" customFormat="false" ht="15" hidden="false" customHeight="false" outlineLevel="0" collapsed="false">
      <c r="A20" s="26" t="s">
        <v>11</v>
      </c>
      <c r="B20" s="26" t="s">
        <v>73</v>
      </c>
      <c r="C20" s="29" t="s">
        <v>74</v>
      </c>
      <c r="D20" s="26" t="s">
        <v>75</v>
      </c>
    </row>
    <row r="21" customFormat="false" ht="15" hidden="false" customHeight="false" outlineLevel="0" collapsed="false">
      <c r="A21" s="26" t="s">
        <v>76</v>
      </c>
      <c r="B21" s="26" t="s">
        <v>77</v>
      </c>
      <c r="C21" s="29" t="s">
        <v>78</v>
      </c>
      <c r="D21" s="26" t="s">
        <v>79</v>
      </c>
    </row>
    <row r="22" customFormat="false" ht="15" hidden="false" customHeight="false" outlineLevel="0" collapsed="false">
      <c r="A22" s="26" t="s">
        <v>76</v>
      </c>
      <c r="B22" s="26" t="s">
        <v>80</v>
      </c>
      <c r="C22" s="29" t="s">
        <v>78</v>
      </c>
      <c r="D22" s="26" t="s">
        <v>79</v>
      </c>
    </row>
    <row r="23" customFormat="false" ht="15" hidden="false" customHeight="false" outlineLevel="0" collapsed="false">
      <c r="A23" s="26" t="s">
        <v>76</v>
      </c>
      <c r="B23" s="26" t="s">
        <v>81</v>
      </c>
      <c r="C23" s="29" t="s">
        <v>78</v>
      </c>
      <c r="D23" s="26" t="s">
        <v>79</v>
      </c>
    </row>
    <row r="24" customFormat="false" ht="15" hidden="false" customHeight="false" outlineLevel="0" collapsed="false">
      <c r="A24" s="26" t="s">
        <v>76</v>
      </c>
      <c r="B24" s="26" t="s">
        <v>82</v>
      </c>
      <c r="C24" s="29" t="s">
        <v>78</v>
      </c>
      <c r="D24" s="26" t="s">
        <v>79</v>
      </c>
    </row>
    <row r="25" customFormat="false" ht="15" hidden="false" customHeight="false" outlineLevel="0" collapsed="false">
      <c r="A25" s="26" t="s">
        <v>76</v>
      </c>
      <c r="B25" s="26" t="s">
        <v>83</v>
      </c>
      <c r="C25" s="29" t="s">
        <v>78</v>
      </c>
      <c r="D25" s="26" t="s">
        <v>79</v>
      </c>
    </row>
    <row r="26" customFormat="false" ht="15" hidden="false" customHeight="false" outlineLevel="0" collapsed="false">
      <c r="A26" s="26" t="s">
        <v>76</v>
      </c>
      <c r="B26" s="26" t="s">
        <v>84</v>
      </c>
      <c r="C26" s="29" t="s">
        <v>85</v>
      </c>
      <c r="D26" s="26" t="s">
        <v>79</v>
      </c>
    </row>
    <row r="27" customFormat="false" ht="15" hidden="false" customHeight="false" outlineLevel="0" collapsed="false">
      <c r="A27" s="26" t="s">
        <v>76</v>
      </c>
      <c r="B27" s="26" t="s">
        <v>86</v>
      </c>
      <c r="C27" s="29" t="s">
        <v>78</v>
      </c>
      <c r="D27" s="26" t="s">
        <v>79</v>
      </c>
    </row>
    <row r="28" customFormat="false" ht="15" hidden="false" customHeight="false" outlineLevel="0" collapsed="false">
      <c r="A28" s="26" t="s">
        <v>14</v>
      </c>
      <c r="B28" s="26" t="s">
        <v>87</v>
      </c>
      <c r="C28" s="29" t="s">
        <v>78</v>
      </c>
      <c r="D28" s="26" t="s">
        <v>79</v>
      </c>
    </row>
    <row r="29" customFormat="false" ht="15" hidden="false" customHeight="false" outlineLevel="0" collapsed="false">
      <c r="A29" s="26" t="s">
        <v>14</v>
      </c>
      <c r="B29" s="26" t="s">
        <v>88</v>
      </c>
      <c r="C29" s="29" t="s">
        <v>78</v>
      </c>
      <c r="D29" s="26" t="s">
        <v>79</v>
      </c>
    </row>
    <row r="30" customFormat="false" ht="15" hidden="false" customHeight="false" outlineLevel="0" collapsed="false">
      <c r="A30" s="26" t="s">
        <v>14</v>
      </c>
      <c r="B30" s="26" t="s">
        <v>89</v>
      </c>
      <c r="C30" s="29" t="s">
        <v>78</v>
      </c>
      <c r="D30" s="26" t="s">
        <v>79</v>
      </c>
    </row>
    <row r="31" customFormat="false" ht="15" hidden="false" customHeight="false" outlineLevel="0" collapsed="false">
      <c r="A31" s="26" t="s">
        <v>14</v>
      </c>
      <c r="B31" s="26" t="s">
        <v>90</v>
      </c>
      <c r="C31" s="29" t="s">
        <v>85</v>
      </c>
      <c r="D31" s="26" t="s">
        <v>79</v>
      </c>
    </row>
    <row r="32" customFormat="false" ht="15" hidden="false" customHeight="false" outlineLevel="0" collapsed="false">
      <c r="A32" s="26" t="s">
        <v>14</v>
      </c>
      <c r="B32" s="26" t="s">
        <v>91</v>
      </c>
      <c r="C32" s="29" t="s">
        <v>78</v>
      </c>
      <c r="D32" s="26" t="s">
        <v>79</v>
      </c>
    </row>
    <row r="33" customFormat="false" ht="15" hidden="false" customHeight="false" outlineLevel="0" collapsed="false">
      <c r="A33" s="26" t="s">
        <v>14</v>
      </c>
      <c r="B33" s="26" t="s">
        <v>92</v>
      </c>
      <c r="C33" s="29" t="s">
        <v>85</v>
      </c>
      <c r="D33" s="26" t="s">
        <v>79</v>
      </c>
    </row>
  </sheetData>
  <mergeCells count="1">
    <mergeCell ref="A1:D1"/>
  </mergeCells>
  <dataValidations count="2">
    <dataValidation allowBlank="true" errorStyle="stop" operator="between" showDropDown="false" showErrorMessage="false" showInputMessage="false" sqref="C21:C34" type="list">
      <formula1>"Yes,No"</formula1>
      <formula2>0</formula2>
    </dataValidation>
    <dataValidation allowBlank="true" errorStyle="stop" operator="between" showDropDown="false" showErrorMessage="false" showInputMessage="false" sqref="C20" type="list">
      <formula1>"Monthly,Quarterly,Less often"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8" min="7" style="0" width="13"/>
  </cols>
  <sheetData>
    <row r="1" customFormat="false" ht="22.05" hidden="false" customHeight="false" outlineLevel="0" collapsed="false">
      <c r="A1" s="23" t="s">
        <v>93</v>
      </c>
      <c r="B1" s="23"/>
      <c r="C1" s="23"/>
      <c r="D1" s="23"/>
    </row>
    <row r="3" customFormat="false" ht="15" hidden="false" customHeight="false" outlineLevel="0" collapsed="false">
      <c r="A3" s="25" t="s">
        <v>16</v>
      </c>
      <c r="B3" s="25" t="s">
        <v>94</v>
      </c>
      <c r="C3" s="25" t="s">
        <v>95</v>
      </c>
      <c r="D3" s="25" t="s">
        <v>18</v>
      </c>
    </row>
    <row r="4" customFormat="false" ht="15" hidden="false" customHeight="false" outlineLevel="0" collapsed="false">
      <c r="A4" s="30" t="s">
        <v>96</v>
      </c>
      <c r="B4" s="30" t="s">
        <v>97</v>
      </c>
      <c r="C4" s="30" t="n">
        <f aca="false">Inputs!C7-Inputs!C8</f>
        <v>3000000</v>
      </c>
      <c r="D4" s="30" t="s">
        <v>98</v>
      </c>
    </row>
    <row r="5" customFormat="false" ht="15" hidden="false" customHeight="false" outlineLevel="0" collapsed="false">
      <c r="A5" s="30" t="s">
        <v>99</v>
      </c>
      <c r="B5" s="30" t="s">
        <v>100</v>
      </c>
      <c r="C5" s="30" t="n">
        <f aca="false">IFERROR(Inputs!C10/Inputs!C11,"")</f>
        <v>1.5</v>
      </c>
      <c r="D5" s="30" t="s">
        <v>101</v>
      </c>
    </row>
    <row r="6" customFormat="false" ht="15" hidden="false" customHeight="false" outlineLevel="0" collapsed="false">
      <c r="A6" s="30" t="s">
        <v>102</v>
      </c>
      <c r="B6" s="30" t="s">
        <v>103</v>
      </c>
      <c r="C6" s="31" t="n">
        <f aca="false">IFERROR(C4/Inputs!C7,"")</f>
        <v>0.25</v>
      </c>
      <c r="D6" s="30" t="s">
        <v>104</v>
      </c>
    </row>
    <row r="7" customFormat="false" ht="15" hidden="false" customHeight="false" outlineLevel="0" collapsed="false">
      <c r="A7" s="30" t="s">
        <v>105</v>
      </c>
      <c r="B7" s="30" t="s">
        <v>106</v>
      </c>
      <c r="C7" s="31" t="n">
        <f aca="false">IFERROR(Inputs!C12/Inputs!C9,"")</f>
        <v>0.3125</v>
      </c>
      <c r="D7" s="30" t="s">
        <v>107</v>
      </c>
    </row>
    <row r="8" customFormat="false" ht="15" hidden="false" customHeight="false" outlineLevel="0" collapsed="false">
      <c r="A8" s="30" t="s">
        <v>108</v>
      </c>
      <c r="B8" s="30" t="s">
        <v>109</v>
      </c>
      <c r="C8" s="30" t="n">
        <f aca="false">Inputs!C16-Inputs!C17</f>
        <v>250000</v>
      </c>
      <c r="D8" s="30" t="s">
        <v>110</v>
      </c>
    </row>
    <row r="9" customFormat="false" ht="15" hidden="false" customHeight="false" outlineLevel="0" collapsed="false">
      <c r="A9" s="30" t="s">
        <v>111</v>
      </c>
      <c r="B9" s="30" t="s">
        <v>112</v>
      </c>
      <c r="C9" s="30" t="n">
        <f aca="false">IFERROR(Inputs!C16/Inputs!C17,"")</f>
        <v>1.33333333333333</v>
      </c>
      <c r="D9" s="30" t="s">
        <v>113</v>
      </c>
    </row>
    <row r="10" customFormat="false" ht="15" hidden="false" customHeight="false" outlineLevel="0" collapsed="false">
      <c r="A10" s="30" t="s">
        <v>72</v>
      </c>
      <c r="B10" s="30" t="s">
        <v>114</v>
      </c>
      <c r="C10" s="32" t="n">
        <f aca="false">Inputs!C19</f>
        <v>2</v>
      </c>
      <c r="D10" s="30" t="s">
        <v>115</v>
      </c>
    </row>
    <row r="11" customFormat="false" ht="28.35" hidden="false" customHeight="false" outlineLevel="0" collapsed="false">
      <c r="A11" s="30" t="s">
        <v>116</v>
      </c>
      <c r="B11" s="30" t="s">
        <v>117</v>
      </c>
      <c r="C11" s="30" t="n">
        <f aca="false">IFERROR((Inputs!C16-Inputs!C17)/Inputs!C18,"")</f>
        <v>3.73134328358209</v>
      </c>
      <c r="D11" s="30" t="s">
        <v>118</v>
      </c>
    </row>
    <row r="12" customFormat="false" ht="15" hidden="false" customHeight="false" outlineLevel="0" collapsed="false">
      <c r="A12" s="30" t="s">
        <v>119</v>
      </c>
      <c r="B12" s="30" t="s">
        <v>120</v>
      </c>
      <c r="C12" s="31" t="n">
        <f aca="false">COUNTIF(Inputs!C21:C27,"Yes")/7</f>
        <v>0.857142857142857</v>
      </c>
      <c r="D12" s="30" t="s">
        <v>121</v>
      </c>
    </row>
    <row r="13" customFormat="false" ht="15" hidden="false" customHeight="false" outlineLevel="0" collapsed="false">
      <c r="A13" s="30" t="s">
        <v>122</v>
      </c>
      <c r="B13" s="30" t="s">
        <v>123</v>
      </c>
      <c r="C13" s="31" t="n">
        <f aca="false">COUNTIF(Inputs!C28:C33,"Yes")/6</f>
        <v>0.666666666666667</v>
      </c>
      <c r="D13" s="30" t="s">
        <v>121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60"/>
    <col collapsed="false" customWidth="true" hidden="false" outlineLevel="0" max="8" min="7" style="0" width="13"/>
  </cols>
  <sheetData>
    <row r="1" customFormat="false" ht="22.05" hidden="false" customHeight="false" outlineLevel="0" collapsed="false">
      <c r="A1" s="23" t="s">
        <v>124</v>
      </c>
      <c r="B1" s="23"/>
      <c r="C1" s="23"/>
      <c r="D1" s="23"/>
      <c r="E1" s="23"/>
      <c r="F1" s="23"/>
    </row>
    <row r="3" customFormat="false" ht="15" hidden="false" customHeight="false" outlineLevel="0" collapsed="false">
      <c r="A3" s="25" t="s">
        <v>6</v>
      </c>
      <c r="B3" s="25" t="s">
        <v>125</v>
      </c>
      <c r="C3" s="25" t="s">
        <v>126</v>
      </c>
      <c r="D3" s="25" t="s">
        <v>127</v>
      </c>
      <c r="E3" s="25" t="s">
        <v>128</v>
      </c>
      <c r="F3" s="25" t="s">
        <v>129</v>
      </c>
    </row>
    <row r="4" customFormat="false" ht="15" hidden="false" customHeight="false" outlineLevel="0" collapsed="false">
      <c r="A4" s="30" t="s">
        <v>10</v>
      </c>
      <c r="B4" s="30" t="n">
        <v>25</v>
      </c>
      <c r="C4" s="30" t="s">
        <v>20</v>
      </c>
      <c r="D4" s="30" t="n">
        <v>8</v>
      </c>
      <c r="E4" s="30" t="n">
        <f aca="false">IF(Calculations!C5="","",MIN(8,MAX(0,Calculations!C5/2*8)))</f>
        <v>6</v>
      </c>
      <c r="F4" s="30" t="s">
        <v>130</v>
      </c>
    </row>
    <row r="5" customFormat="false" ht="15" hidden="false" customHeight="false" outlineLevel="0" collapsed="false">
      <c r="A5" s="30" t="s">
        <v>10</v>
      </c>
      <c r="B5" s="30" t="n">
        <v>25</v>
      </c>
      <c r="C5" s="30" t="s">
        <v>22</v>
      </c>
      <c r="D5" s="30" t="n">
        <v>9</v>
      </c>
      <c r="E5" s="30" t="n">
        <f aca="false">IF(Calculations!C6="","",MIN(9,MAX(0,Calculations!C6/0.2*9)))</f>
        <v>9</v>
      </c>
      <c r="F5" s="30" t="s">
        <v>131</v>
      </c>
    </row>
    <row r="6" customFormat="false" ht="15" hidden="false" customHeight="false" outlineLevel="0" collapsed="false">
      <c r="A6" s="30" t="s">
        <v>10</v>
      </c>
      <c r="B6" s="30" t="n">
        <v>25</v>
      </c>
      <c r="C6" s="30" t="s">
        <v>24</v>
      </c>
      <c r="D6" s="30" t="n">
        <v>8</v>
      </c>
      <c r="E6" s="30" t="n">
        <f aca="false">IF(Calculations!C7="","",MIN(8,MAX(0,(1-Calculations!C7)/0.8*8)))</f>
        <v>6.875</v>
      </c>
      <c r="F6" s="30" t="s">
        <v>132</v>
      </c>
    </row>
    <row r="7" customFormat="false" ht="15" hidden="false" customHeight="false" outlineLevel="0" collapsed="false">
      <c r="A7" s="30" t="s">
        <v>11</v>
      </c>
      <c r="B7" s="30" t="n">
        <v>20</v>
      </c>
      <c r="C7" s="30" t="s">
        <v>111</v>
      </c>
      <c r="D7" s="30" t="n">
        <v>10</v>
      </c>
      <c r="E7" s="30" t="n">
        <f aca="false">IF(Calculations!C9="","",MIN(10,MAX(0,Calculations!C9/1.5*10)))</f>
        <v>8.88888888888889</v>
      </c>
      <c r="F7" s="30" t="s">
        <v>133</v>
      </c>
    </row>
    <row r="8" customFormat="false" ht="15" hidden="false" customHeight="false" outlineLevel="0" collapsed="false">
      <c r="A8" s="30" t="s">
        <v>11</v>
      </c>
      <c r="B8" s="30" t="n">
        <v>20</v>
      </c>
      <c r="C8" s="30" t="s">
        <v>72</v>
      </c>
      <c r="D8" s="30" t="n">
        <v>5</v>
      </c>
      <c r="E8" s="30" t="n">
        <f aca="false">IF(Inputs!C19="","",MIN(5,MAX(0,Inputs!C19/3*5)))</f>
        <v>3.33333333333333</v>
      </c>
      <c r="F8" s="30" t="s">
        <v>134</v>
      </c>
    </row>
    <row r="9" customFormat="false" ht="15" hidden="false" customHeight="false" outlineLevel="0" collapsed="false">
      <c r="A9" s="30" t="s">
        <v>11</v>
      </c>
      <c r="B9" s="30" t="n">
        <v>20</v>
      </c>
      <c r="C9" s="30" t="s">
        <v>135</v>
      </c>
      <c r="D9" s="30" t="n">
        <v>5</v>
      </c>
      <c r="E9" s="30" t="n">
        <f aca="false">IF(Inputs!C20="","",IF(Inputs!C20="Monthly",5,IF(Inputs!C20="Quarterly",3,1)))</f>
        <v>5</v>
      </c>
      <c r="F9" s="30" t="s">
        <v>136</v>
      </c>
    </row>
    <row r="10" customFormat="false" ht="15" hidden="false" customHeight="false" outlineLevel="0" collapsed="false">
      <c r="A10" s="30" t="s">
        <v>12</v>
      </c>
      <c r="B10" s="30" t="n">
        <v>20</v>
      </c>
      <c r="C10" s="30" t="s">
        <v>137</v>
      </c>
      <c r="D10" s="30" t="n">
        <v>20</v>
      </c>
      <c r="E10" s="30" t="n">
        <f aca="false">IF(COUNTA(Inputs!C21:C27)=0,"",COUNTIF(Inputs!C21:C27,"Yes")/7*20)</f>
        <v>17.1428571428571</v>
      </c>
      <c r="F10" s="30" t="s">
        <v>138</v>
      </c>
    </row>
    <row r="11" customFormat="false" ht="28.35" hidden="false" customHeight="false" outlineLevel="0" collapsed="false">
      <c r="A11" s="30" t="s">
        <v>13</v>
      </c>
      <c r="B11" s="30" t="n">
        <v>20</v>
      </c>
      <c r="C11" s="30" t="s">
        <v>139</v>
      </c>
      <c r="D11" s="30" t="n">
        <v>20</v>
      </c>
      <c r="E11" s="30" t="n">
        <f aca="false">IF(Calculations!C11="","",MIN(20,MAX(0,Calculations!C11/2*20)))</f>
        <v>20</v>
      </c>
      <c r="F11" s="30" t="s">
        <v>140</v>
      </c>
    </row>
    <row r="12" customFormat="false" ht="15" hidden="false" customHeight="false" outlineLevel="0" collapsed="false">
      <c r="A12" s="30" t="s">
        <v>14</v>
      </c>
      <c r="B12" s="30" t="n">
        <v>15</v>
      </c>
      <c r="C12" s="30" t="s">
        <v>122</v>
      </c>
      <c r="D12" s="30" t="n">
        <v>15</v>
      </c>
      <c r="E12" s="30" t="n">
        <f aca="false">IF(COUNTA(Inputs!C28:C33)=0,"",COUNTIF(Inputs!C28:C33,"Yes")/6*15)</f>
        <v>10</v>
      </c>
      <c r="F12" s="30" t="s">
        <v>141</v>
      </c>
    </row>
    <row r="15" customFormat="false" ht="18.55" hidden="false" customHeight="false" outlineLevel="0" collapsed="false">
      <c r="A15" s="21" t="s">
        <v>142</v>
      </c>
      <c r="E15" s="33" t="n">
        <f aca="false">SUM(E4:E12)</f>
        <v>86.2400793650794</v>
      </c>
    </row>
    <row r="16" customFormat="false" ht="15" hidden="false" customHeight="false" outlineLevel="0" collapsed="false">
      <c r="A16" s="0" t="s">
        <v>143</v>
      </c>
      <c r="E16" s="0" t="str">
        <f aca="false">IF(E15="","",IF(E15&gt;=75,"Ready",IF(E15&gt;=50,"Developing","Needs Improvement")))</f>
        <v>Ready</v>
      </c>
    </row>
    <row r="18" customFormat="false" ht="15" hidden="false" customHeight="false" outlineLevel="0" collapsed="false">
      <c r="A18" s="21" t="s">
        <v>144</v>
      </c>
    </row>
    <row r="19" customFormat="false" ht="15" hidden="false" customHeight="true" outlineLevel="0" collapsed="false">
      <c r="A19" s="34" t="s">
        <v>145</v>
      </c>
      <c r="B19" s="34"/>
      <c r="C19" s="34"/>
      <c r="D19" s="34"/>
      <c r="E19" s="34"/>
      <c r="F19" s="34"/>
    </row>
    <row r="20" customFormat="false" ht="15" hidden="false" customHeight="false" outlineLevel="0" collapsed="false">
      <c r="A20" s="34"/>
      <c r="B20" s="34"/>
      <c r="C20" s="34"/>
      <c r="D20" s="34"/>
      <c r="E20" s="34"/>
      <c r="F20" s="34"/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34"/>
    </row>
  </sheetData>
  <mergeCells count="2">
    <mergeCell ref="A1:F1"/>
    <mergeCell ref="A19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8" min="7" style="0" width="13"/>
  </cols>
  <sheetData>
    <row r="1" customFormat="false" ht="17.35" hidden="false" customHeight="false" outlineLevel="0" collapsed="false">
      <c r="A1" s="35" t="s">
        <v>146</v>
      </c>
      <c r="B1" s="35"/>
      <c r="C1" s="35"/>
      <c r="D1" s="35"/>
      <c r="E1" s="35"/>
      <c r="F1" s="35"/>
    </row>
    <row r="3" customFormat="false" ht="24.45" hidden="false" customHeight="false" outlineLevel="0" collapsed="false">
      <c r="A3" s="36" t="s">
        <v>147</v>
      </c>
      <c r="B3" s="37" t="n">
        <f aca="false">Scoring!E15</f>
        <v>86.2400793650794</v>
      </c>
      <c r="C3" s="0" t="s">
        <v>148</v>
      </c>
    </row>
    <row r="4" customFormat="false" ht="15" hidden="false" customHeight="false" outlineLevel="0" collapsed="false">
      <c r="A4" s="0" t="s">
        <v>143</v>
      </c>
      <c r="B4" s="0" t="str">
        <f aca="false">Scoring!E16</f>
        <v>Ready</v>
      </c>
    </row>
    <row r="6" customFormat="false" ht="15" hidden="false" customHeight="false" outlineLevel="0" collapsed="false">
      <c r="A6" s="38" t="s">
        <v>6</v>
      </c>
      <c r="B6" s="38" t="s">
        <v>149</v>
      </c>
      <c r="C6" s="38" t="s">
        <v>7</v>
      </c>
      <c r="D6" s="38" t="s">
        <v>41</v>
      </c>
    </row>
    <row r="7" customFormat="false" ht="15" hidden="false" customHeight="false" outlineLevel="0" collapsed="false">
      <c r="A7" s="39" t="s">
        <v>10</v>
      </c>
      <c r="B7" s="39" t="n">
        <v>25</v>
      </c>
      <c r="C7" s="39" t="n">
        <f aca="false">SUM(Scoring!E4:E6)</f>
        <v>21.875</v>
      </c>
      <c r="D7" s="39" t="str">
        <f aca="false">IF(C7="","",IF(C7/B7&gt;=0.75,"Strong",IF(C7/B7&gt;=0.5,"Developing","Priority")))</f>
        <v>Strong</v>
      </c>
    </row>
    <row r="8" customFormat="false" ht="15" hidden="false" customHeight="false" outlineLevel="0" collapsed="false">
      <c r="A8" s="39" t="s">
        <v>11</v>
      </c>
      <c r="B8" s="39" t="n">
        <v>20</v>
      </c>
      <c r="C8" s="39" t="n">
        <f aca="false">SUM(Scoring!E7:E9)</f>
        <v>17.2222222222222</v>
      </c>
      <c r="D8" s="39" t="str">
        <f aca="false">IF(C8="","",IF(C8/B8&gt;=0.75,"Strong",IF(C8/B8&gt;=0.5,"Developing","Priority")))</f>
        <v>Strong</v>
      </c>
    </row>
    <row r="9" customFormat="false" ht="15" hidden="false" customHeight="false" outlineLevel="0" collapsed="false">
      <c r="A9" s="39" t="s">
        <v>12</v>
      </c>
      <c r="B9" s="39" t="n">
        <v>20</v>
      </c>
      <c r="C9" s="39" t="n">
        <f aca="false">Scoring!E10</f>
        <v>17.1428571428571</v>
      </c>
      <c r="D9" s="39" t="str">
        <f aca="false">IF(C9="","",IF(C9/B9&gt;=0.75,"Strong",IF(C9/B9&gt;=0.5,"Developing","Priority")))</f>
        <v>Strong</v>
      </c>
    </row>
    <row r="10" customFormat="false" ht="15" hidden="false" customHeight="false" outlineLevel="0" collapsed="false">
      <c r="A10" s="39" t="s">
        <v>13</v>
      </c>
      <c r="B10" s="39" t="n">
        <v>20</v>
      </c>
      <c r="C10" s="39" t="n">
        <f aca="false">Scoring!E11</f>
        <v>20</v>
      </c>
      <c r="D10" s="39" t="str">
        <f aca="false">IF(C10="","",IF(C10/B10&gt;=0.75,"Strong",IF(C10/B10&gt;=0.5,"Developing","Priority")))</f>
        <v>Strong</v>
      </c>
    </row>
    <row r="11" customFormat="false" ht="15" hidden="false" customHeight="false" outlineLevel="0" collapsed="false">
      <c r="A11" s="39" t="s">
        <v>14</v>
      </c>
      <c r="B11" s="39" t="n">
        <v>15</v>
      </c>
      <c r="C11" s="39" t="n">
        <f aca="false">Scoring!E12</f>
        <v>10</v>
      </c>
      <c r="D11" s="39" t="str">
        <f aca="false">IF(C11="","",IF(C11/B11&gt;=0.75,"Strong",IF(C11/B11&gt;=0.5,"Developing","Priority")))</f>
        <v>Developing</v>
      </c>
    </row>
    <row r="14" customFormat="false" ht="17.35" hidden="false" customHeight="false" outlineLevel="0" collapsed="false">
      <c r="A14" s="40" t="s">
        <v>150</v>
      </c>
      <c r="D14" s="40" t="s">
        <v>151</v>
      </c>
    </row>
    <row r="15" customFormat="false" ht="15" hidden="false" customHeight="false" outlineLevel="0" collapsed="false">
      <c r="A15" s="0" t="s">
        <v>10</v>
      </c>
      <c r="B15" s="0" t="str">
        <f aca="false">IF(C7/B7&lt;0.5,"Priority weakness","Adequate")</f>
        <v>Adequate</v>
      </c>
      <c r="D15" s="41" t="str">
        <f aca="false">IF(B15="Priority weakness","Review liquidity, profitability and leverage; improve the weakest underlying ratio.","Maintain current financial-health practices.")</f>
        <v>Maintain current financial-health practices.</v>
      </c>
      <c r="E15" s="41"/>
      <c r="F15" s="41"/>
    </row>
    <row r="16" customFormat="false" ht="15" hidden="false" customHeight="false" outlineLevel="0" collapsed="false">
      <c r="A16" s="0" t="s">
        <v>11</v>
      </c>
      <c r="B16" s="0" t="str">
        <f aca="false">IF(C8/B8&lt;0.5,"Priority weakness","Adequate")</f>
        <v>Adequate</v>
      </c>
      <c r="D16" s="41" t="str">
        <f aca="false">IF(B16="Priority weakness","Monitor cash flow monthly and build a cash reserve; review recurring cash outflows.","Maintain regular cash-flow monitoring.")</f>
        <v>Maintain regular cash-flow monitoring.</v>
      </c>
      <c r="E16" s="41"/>
      <c r="F16" s="41"/>
    </row>
    <row r="17" customFormat="false" ht="15" hidden="false" customHeight="false" outlineLevel="0" collapsed="false">
      <c r="A17" s="0" t="s">
        <v>76</v>
      </c>
      <c r="B17" s="0" t="str">
        <f aca="false">IF(C9/B9&lt;0.5,"Priority weakness","Adequate")</f>
        <v>Adequate</v>
      </c>
      <c r="D17" s="41" t="str">
        <f aca="false">IF(B17="Priority weakness","Strengthen formal records, financial statements, account separation and record updating.","Maintain consistent financial documentation.")</f>
        <v>Maintain consistent financial documentation.</v>
      </c>
      <c r="E17" s="41"/>
      <c r="F17" s="41"/>
    </row>
    <row r="18" customFormat="false" ht="15" hidden="false" customHeight="false" outlineLevel="0" collapsed="false">
      <c r="A18" s="0" t="s">
        <v>152</v>
      </c>
      <c r="B18" s="0" t="str">
        <f aca="false">IF(C10/B10&lt;0.5,"Priority weakness","Adequate")</f>
        <v>Adequate</v>
      </c>
      <c r="D18" s="41" t="str">
        <f aca="false">IF(B18="Priority weakness","Review debt obligations and repayment capacity before taking on additional debt.","Continue monitoring debt-service capacity.")</f>
        <v>Continue monitoring debt-service capacity.</v>
      </c>
      <c r="E18" s="41"/>
      <c r="F18" s="41"/>
    </row>
    <row r="19" customFormat="false" ht="15" hidden="false" customHeight="false" outlineLevel="0" collapsed="false">
      <c r="A19" s="0" t="s">
        <v>14</v>
      </c>
      <c r="B19" s="0" t="str">
        <f aca="false">IF(C11/B11&lt;0.5,"Priority weakness","Adequate")</f>
        <v>Adequate</v>
      </c>
      <c r="D19" s="41" t="str">
        <f aca="false">IF(B19="Priority weakness","Introduce budgeting, revenue/expense forecasting and actual-vs-budget review.","Maintain and periodically update financial plans.")</f>
        <v>Maintain and periodically update financial plans.</v>
      </c>
      <c r="E19" s="41"/>
      <c r="F19" s="41"/>
    </row>
  </sheetData>
  <mergeCells count="6">
    <mergeCell ref="A1:F1"/>
    <mergeCell ref="D15:F15"/>
    <mergeCell ref="D16:F16"/>
    <mergeCell ref="D17:F17"/>
    <mergeCell ref="D18:F18"/>
    <mergeCell ref="D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6" min="5" style="0" width="42"/>
    <col collapsed="false" customWidth="true" hidden="false" outlineLevel="0" max="8" min="7" style="0" width="13"/>
  </cols>
  <sheetData>
    <row r="1" customFormat="false" ht="22.05" hidden="false" customHeight="false" outlineLevel="0" collapsed="false">
      <c r="A1" s="23" t="s">
        <v>153</v>
      </c>
      <c r="B1" s="23"/>
      <c r="C1" s="23"/>
      <c r="D1" s="23"/>
      <c r="E1" s="23"/>
      <c r="F1" s="23"/>
    </row>
    <row r="2" customFormat="false" ht="15" hidden="false" customHeight="false" outlineLevel="0" collapsed="false">
      <c r="A2" s="42" t="s">
        <v>154</v>
      </c>
    </row>
    <row r="4" customFormat="false" ht="15" hidden="false" customHeight="false" outlineLevel="0" collapsed="false">
      <c r="A4" s="25" t="s">
        <v>155</v>
      </c>
      <c r="B4" s="25" t="s">
        <v>156</v>
      </c>
      <c r="C4" s="25" t="s">
        <v>157</v>
      </c>
      <c r="D4" s="25" t="s">
        <v>158</v>
      </c>
      <c r="E4" s="25" t="s">
        <v>159</v>
      </c>
      <c r="F4" s="25" t="s">
        <v>160</v>
      </c>
    </row>
    <row r="5" customFormat="false" ht="15" hidden="false" customHeight="false" outlineLevel="0" collapsed="false">
      <c r="A5" s="43" t="s">
        <v>59</v>
      </c>
      <c r="B5" s="44" t="n">
        <f aca="false">Inputs!C7</f>
        <v>12000000</v>
      </c>
      <c r="C5" s="45" t="n">
        <f aca="false">B5</f>
        <v>12000000</v>
      </c>
      <c r="D5" s="43" t="s">
        <v>60</v>
      </c>
      <c r="E5" s="43" t="s">
        <v>161</v>
      </c>
      <c r="F5" s="43" t="s">
        <v>162</v>
      </c>
    </row>
    <row r="6" customFormat="false" ht="15" hidden="false" customHeight="false" outlineLevel="0" collapsed="false">
      <c r="A6" s="43" t="s">
        <v>61</v>
      </c>
      <c r="B6" s="44" t="n">
        <f aca="false">Inputs!C8</f>
        <v>9000000</v>
      </c>
      <c r="C6" s="45" t="n">
        <f aca="false">B6</f>
        <v>9000000</v>
      </c>
      <c r="D6" s="43" t="s">
        <v>60</v>
      </c>
      <c r="E6" s="43" t="s">
        <v>161</v>
      </c>
      <c r="F6" s="43" t="s">
        <v>163</v>
      </c>
    </row>
    <row r="7" customFormat="false" ht="15" hidden="false" customHeight="false" outlineLevel="0" collapsed="false">
      <c r="A7" s="43" t="s">
        <v>63</v>
      </c>
      <c r="B7" s="44" t="n">
        <f aca="false">Inputs!C10</f>
        <v>3000000</v>
      </c>
      <c r="C7" s="45" t="n">
        <f aca="false">B7</f>
        <v>3000000</v>
      </c>
      <c r="D7" s="43" t="s">
        <v>60</v>
      </c>
      <c r="E7" s="43" t="s">
        <v>161</v>
      </c>
      <c r="F7" s="43" t="s">
        <v>164</v>
      </c>
    </row>
    <row r="8" customFormat="false" ht="15" hidden="false" customHeight="false" outlineLevel="0" collapsed="false">
      <c r="A8" s="43" t="s">
        <v>64</v>
      </c>
      <c r="B8" s="44" t="n">
        <f aca="false">Inputs!C11</f>
        <v>2000000</v>
      </c>
      <c r="C8" s="45" t="n">
        <f aca="false">B8</f>
        <v>2000000</v>
      </c>
      <c r="D8" s="43" t="s">
        <v>60</v>
      </c>
      <c r="E8" s="43" t="s">
        <v>161</v>
      </c>
      <c r="F8" s="43" t="s">
        <v>165</v>
      </c>
    </row>
    <row r="9" customFormat="false" ht="15" hidden="false" customHeight="false" outlineLevel="0" collapsed="false">
      <c r="A9" s="43" t="s">
        <v>65</v>
      </c>
      <c r="B9" s="44" t="n">
        <f aca="false">Inputs!C12</f>
        <v>2500000</v>
      </c>
      <c r="C9" s="45" t="n">
        <f aca="false">B9</f>
        <v>2500000</v>
      </c>
      <c r="D9" s="43" t="s">
        <v>60</v>
      </c>
      <c r="E9" s="43" t="s">
        <v>161</v>
      </c>
      <c r="F9" s="43" t="s">
        <v>166</v>
      </c>
    </row>
    <row r="10" customFormat="false" ht="15" hidden="false" customHeight="false" outlineLevel="0" collapsed="false">
      <c r="A10" s="43" t="s">
        <v>167</v>
      </c>
      <c r="B10" s="44" t="n">
        <f aca="false">Inputs!C16</f>
        <v>1000000</v>
      </c>
      <c r="C10" s="45" t="n">
        <f aca="false">B10</f>
        <v>1000000</v>
      </c>
      <c r="D10" s="43" t="s">
        <v>60</v>
      </c>
      <c r="E10" s="43" t="s">
        <v>161</v>
      </c>
      <c r="F10" s="43" t="s">
        <v>168</v>
      </c>
    </row>
    <row r="11" customFormat="false" ht="15" hidden="false" customHeight="false" outlineLevel="0" collapsed="false">
      <c r="A11" s="43" t="s">
        <v>169</v>
      </c>
      <c r="B11" s="44" t="n">
        <f aca="false">Inputs!C17</f>
        <v>750000</v>
      </c>
      <c r="C11" s="45" t="n">
        <f aca="false">B11</f>
        <v>750000</v>
      </c>
      <c r="D11" s="43" t="s">
        <v>60</v>
      </c>
      <c r="E11" s="43" t="s">
        <v>161</v>
      </c>
      <c r="F11" s="43" t="s">
        <v>170</v>
      </c>
    </row>
    <row r="12" customFormat="false" ht="15" hidden="false" customHeight="false" outlineLevel="0" collapsed="false">
      <c r="A12" s="43" t="s">
        <v>72</v>
      </c>
      <c r="B12" s="46" t="n">
        <f aca="false">Inputs!C19</f>
        <v>2</v>
      </c>
      <c r="C12" s="47" t="n">
        <f aca="false">B12</f>
        <v>2</v>
      </c>
      <c r="D12" s="43" t="s">
        <v>28</v>
      </c>
      <c r="E12" s="43" t="s">
        <v>161</v>
      </c>
      <c r="F12" s="43" t="s">
        <v>171</v>
      </c>
    </row>
    <row r="15" customFormat="false" ht="15" hidden="false" customHeight="false" outlineLevel="0" collapsed="false">
      <c r="A15" s="0" t="s">
        <v>172</v>
      </c>
      <c r="B15" s="0" t="n">
        <f aca="false">Scoring!E15</f>
        <v>86.2400793650794</v>
      </c>
    </row>
    <row r="16" customFormat="false" ht="15" hidden="false" customHeight="false" outlineLevel="0" collapsed="false">
      <c r="A16" s="0" t="s">
        <v>173</v>
      </c>
      <c r="B16" s="0" t="n">
        <f aca="false">IF(COUNTA(C5:C12)=0,"",MIN(100,MAX(0,(MIN(8,MAX(0,(C7/C8)/2*8))+MIN(9,MAX(0,((C5-C6)/C5)/0.2*9))+MIN(8,MAX(0,(1-C9/Inputs!C9)/0.8*8))+MIN(10,MAX(0,(C10/C11)/1.5*10))+MIN(5,MAX(0,C12/3*5))+Scoring!E9+Scoring!E10+Scoring!E11+Scoring!E12))))</f>
        <v>86.2400793650794</v>
      </c>
    </row>
    <row r="17" customFormat="false" ht="15" hidden="false" customHeight="false" outlineLevel="0" collapsed="false">
      <c r="A17" s="0" t="s">
        <v>174</v>
      </c>
      <c r="B17" s="0" t="n">
        <f aca="false">IF(B16="","",B16-B15)</f>
        <v>0</v>
      </c>
    </row>
    <row r="19" customFormat="false" ht="15" hidden="false" customHeight="false" outlineLevel="0" collapsed="false">
      <c r="A19" s="21" t="s">
        <v>175</v>
      </c>
    </row>
    <row r="20" customFormat="false" ht="15" hidden="false" customHeight="true" outlineLevel="0" collapsed="false">
      <c r="A20" s="34" t="s">
        <v>176</v>
      </c>
      <c r="B20" s="34"/>
      <c r="C20" s="34"/>
      <c r="D20" s="34"/>
      <c r="E20" s="34"/>
      <c r="F20" s="34"/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34"/>
    </row>
    <row r="22" customFormat="false" ht="15" hidden="false" customHeight="false" outlineLevel="0" collapsed="false">
      <c r="A22" s="34"/>
      <c r="B22" s="34"/>
      <c r="C22" s="34"/>
      <c r="D22" s="34"/>
      <c r="E22" s="34"/>
      <c r="F22" s="34"/>
    </row>
  </sheetData>
  <mergeCells count="2">
    <mergeCell ref="A1:F1"/>
    <mergeCell ref="A20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8" min="7" style="0" width="13"/>
  </cols>
  <sheetData>
    <row r="1" customFormat="false" ht="19.7" hidden="false" customHeight="false" outlineLevel="0" collapsed="false">
      <c r="A1" s="48" t="s">
        <v>177</v>
      </c>
      <c r="B1" s="48"/>
      <c r="C1" s="48"/>
      <c r="D1" s="48"/>
      <c r="E1" s="48"/>
      <c r="F1" s="48"/>
    </row>
    <row r="3" customFormat="false" ht="15" hidden="false" customHeight="false" outlineLevel="0" collapsed="false">
      <c r="A3" s="49" t="s">
        <v>178</v>
      </c>
      <c r="B3" s="50" t="n">
        <f aca="false">Scoring!E15</f>
        <v>86.2400793650794</v>
      </c>
    </row>
    <row r="4" customFormat="false" ht="15" hidden="false" customHeight="false" outlineLevel="0" collapsed="false">
      <c r="A4" s="49" t="s">
        <v>143</v>
      </c>
      <c r="B4" s="50" t="str">
        <f aca="false">Scoring!E16</f>
        <v>Ready</v>
      </c>
    </row>
    <row r="5" customFormat="false" ht="15" hidden="false" customHeight="true" outlineLevel="0" collapsed="false">
      <c r="A5" s="49" t="s">
        <v>160</v>
      </c>
      <c r="B5" s="51" t="s">
        <v>179</v>
      </c>
      <c r="C5" s="51"/>
      <c r="D5" s="51"/>
      <c r="E5" s="51"/>
      <c r="F5" s="51"/>
    </row>
    <row r="7" customFormat="false" ht="15" hidden="false" customHeight="false" outlineLevel="0" collapsed="false">
      <c r="A7" s="49" t="s">
        <v>180</v>
      </c>
      <c r="B7" s="49" t="s">
        <v>181</v>
      </c>
      <c r="C7" s="49" t="s">
        <v>41</v>
      </c>
      <c r="D7" s="49" t="s">
        <v>182</v>
      </c>
      <c r="E7" s="49" t="s">
        <v>43</v>
      </c>
      <c r="F7" s="49" t="s">
        <v>183</v>
      </c>
    </row>
    <row r="8" customFormat="false" ht="28.35" hidden="false" customHeight="false" outlineLevel="0" collapsed="false">
      <c r="A8" s="52" t="s">
        <v>19</v>
      </c>
      <c r="B8" s="53" t="n">
        <f aca="false">Calculations!C5</f>
        <v>1.5</v>
      </c>
      <c r="C8" s="52" t="str">
        <f aca="false">IF(B8&gt;=1.5,"Strong",IF(B8&gt;=1,"Moderate","Needs attention"))</f>
        <v>Strong</v>
      </c>
      <c r="D8" s="52" t="s">
        <v>184</v>
      </c>
      <c r="E8" s="52" t="str">
        <f aca="false">IF(C8="Needs attention","Increase liquid current assets and/or reduce short-term liabilities.",IF(C8="Moderate","Build a stronger working-capital buffer.","Maintain current liquidity discipline."))</f>
        <v>Maintain current liquidity discipline.</v>
      </c>
      <c r="F8" s="52" t="s">
        <v>185</v>
      </c>
    </row>
    <row r="9" customFormat="false" ht="28.35" hidden="false" customHeight="false" outlineLevel="0" collapsed="false">
      <c r="A9" s="52" t="s">
        <v>21</v>
      </c>
      <c r="B9" s="54" t="n">
        <f aca="false">Calculations!C6</f>
        <v>0.25</v>
      </c>
      <c r="C9" s="52" t="str">
        <f aca="false">IF(B9&gt;=0.15,"Strong",IF(B9&gt;=0.08,"Moderate","Needs attention"))</f>
        <v>Strong</v>
      </c>
      <c r="D9" s="52" t="s">
        <v>186</v>
      </c>
      <c r="E9" s="52" t="str">
        <f aca="false">IF(C9="Needs attention","Review major operating costs and pricing; target sustainable margin improvement.",IF(C9="Moderate","Monitor cost efficiency and pricing regularly.","Protect margins while scaling revenue."))</f>
        <v>Protect margins while scaling revenue.</v>
      </c>
      <c r="F9" s="52" t="s">
        <v>185</v>
      </c>
    </row>
    <row r="10" customFormat="false" ht="28.35" hidden="false" customHeight="false" outlineLevel="0" collapsed="false">
      <c r="A10" s="52" t="s">
        <v>23</v>
      </c>
      <c r="B10" s="54" t="n">
        <f aca="false">Calculations!C7</f>
        <v>0.3125</v>
      </c>
      <c r="C10" s="52" t="str">
        <f aca="false">IF(B10&lt;=0.3,"Strong",IF(B10&lt;=0.5,"Moderate","Needs attention"))</f>
        <v>Moderate</v>
      </c>
      <c r="D10" s="52" t="s">
        <v>187</v>
      </c>
      <c r="E10" s="52" t="str">
        <f aca="false">IF(C10="Needs attention","Prioritize debt reduction and avoid unnecessary new borrowing.",IF(C10="Moderate","Monitor leverage before taking additional debt.","Maintain prudent leverage."))</f>
        <v>Monitor leverage before taking additional debt.</v>
      </c>
      <c r="F10" s="52" t="s">
        <v>185</v>
      </c>
    </row>
    <row r="11" customFormat="false" ht="28.35" hidden="false" customHeight="false" outlineLevel="0" collapsed="false">
      <c r="A11" s="52" t="s">
        <v>25</v>
      </c>
      <c r="B11" s="53" t="n">
        <f aca="false">Calculations!C9</f>
        <v>1.33333333333333</v>
      </c>
      <c r="C11" s="52" t="str">
        <f aca="false">IF(B11&gt;=1.25,"Strong",IF(B11&gt;=1,"Moderate","Needs attention"))</f>
        <v>Strong</v>
      </c>
      <c r="D11" s="52" t="s">
        <v>188</v>
      </c>
      <c r="E11" s="52" t="str">
        <f aca="false">IF(C11="Needs attention","Improve collections, reduce avoidable outflows, and monitor cash more frequently.",IF(C11="Moderate","Strengthen cash buffers and collection discipline.","Maintain regular cash-flow monitoring."))</f>
        <v>Maintain regular cash-flow monitoring.</v>
      </c>
      <c r="F11" s="52" t="s">
        <v>185</v>
      </c>
    </row>
    <row r="12" customFormat="false" ht="28.35" hidden="false" customHeight="false" outlineLevel="0" collapsed="false">
      <c r="A12" s="52" t="s">
        <v>27</v>
      </c>
      <c r="B12" s="53" t="n">
        <f aca="false">Inputs!C19</f>
        <v>2</v>
      </c>
      <c r="C12" s="52" t="str">
        <f aca="false">IF(B12&gt;=3,"Strong",IF(B12&gt;=1.5,"Moderate","Needs attention"))</f>
        <v>Moderate</v>
      </c>
      <c r="D12" s="52" t="s">
        <v>189</v>
      </c>
      <c r="E12" s="52" t="str">
        <f aca="false">IF(C12="Needs attention","Build an emergency cash reserve gradually.",IF(C12="Moderate","Work toward at least three months of core cash needs.","Maintain the reserve."))</f>
        <v>Work toward at least three months of core cash needs.</v>
      </c>
      <c r="F12" s="52" t="s">
        <v>190</v>
      </c>
    </row>
    <row r="13" customFormat="false" ht="41.75" hidden="false" customHeight="false" outlineLevel="0" collapsed="false">
      <c r="A13" s="52" t="s">
        <v>191</v>
      </c>
      <c r="B13" s="53" t="n">
        <f aca="false">Calculations!C11</f>
        <v>3.73134328358209</v>
      </c>
      <c r="C13" s="52" t="str">
        <f aca="false">IF(B13&gt;=1.5,"Strong",IF(B13&gt;=1,"Moderate","Needs attention"))</f>
        <v>Strong</v>
      </c>
      <c r="D13" s="52" t="s">
        <v>192</v>
      </c>
      <c r="E13" s="52" t="str">
        <f aca="false">IF(C13="Needs attention","Reduce debt-service pressure and/or strengthen operating cash generation.",IF(C13="Moderate","Improve recurring cash generation before adding significant debt.","Maintain debt-service discipline."))</f>
        <v>Maintain debt-service discipline.</v>
      </c>
      <c r="F13" s="52" t="s">
        <v>193</v>
      </c>
    </row>
    <row r="14" customFormat="false" ht="41.75" hidden="false" customHeight="false" outlineLevel="0" collapsed="false">
      <c r="A14" s="52" t="s">
        <v>31</v>
      </c>
      <c r="B14" s="54" t="n">
        <f aca="false">Calculations!C12</f>
        <v>0.857142857142857</v>
      </c>
      <c r="C14" s="52" t="str">
        <f aca="false">IF(B14&gt;=0.85,"Strong",IF(B14&gt;=0.6,"Moderate","Needs attention"))</f>
        <v>Strong</v>
      </c>
      <c r="D14" s="52" t="s">
        <v>194</v>
      </c>
      <c r="E14" s="52" t="str">
        <f aca="false">IF(C14="Needs attention","Formalize accounting records, statements, banking separation, and regular updates.",IF(C14="Moderate","Close gaps in documentation and reporting.","Keep records current and organized."))</f>
        <v>Keep records current and organized.</v>
      </c>
      <c r="F14" s="52" t="s">
        <v>185</v>
      </c>
    </row>
    <row r="15" customFormat="false" ht="41.75" hidden="false" customHeight="false" outlineLevel="0" collapsed="false">
      <c r="A15" s="52" t="s">
        <v>33</v>
      </c>
      <c r="B15" s="54" t="n">
        <f aca="false">Calculations!C13</f>
        <v>0.666666666666667</v>
      </c>
      <c r="C15" s="52" t="str">
        <f aca="false">IF(B15&gt;=0.85,"Strong",IF(B15&gt;=0.6,"Moderate","Needs attention"))</f>
        <v>Moderate</v>
      </c>
      <c r="D15" s="52" t="s">
        <v>195</v>
      </c>
      <c r="E15" s="52" t="str">
        <f aca="false">IF(C15="Needs attention","Introduce budgeting, forecasts, targets, and contingency planning.",IF(C15="Moderate","Make planning and variance review more consistent.","Maintain formal planning routines."))</f>
        <v>Make planning and variance review more consistent.</v>
      </c>
      <c r="F15" s="52" t="s">
        <v>185</v>
      </c>
    </row>
    <row r="18" customFormat="false" ht="17.35" hidden="false" customHeight="false" outlineLevel="0" collapsed="false">
      <c r="A18" s="55" t="s">
        <v>196</v>
      </c>
      <c r="B18" s="55"/>
      <c r="C18" s="55"/>
      <c r="D18" s="55"/>
      <c r="E18" s="55"/>
      <c r="F18" s="55"/>
    </row>
    <row r="19" customFormat="false" ht="15" hidden="false" customHeight="false" outlineLevel="0" collapsed="false">
      <c r="A19" s="49" t="s">
        <v>6</v>
      </c>
      <c r="B19" s="49" t="s">
        <v>8</v>
      </c>
      <c r="C19" s="49" t="s">
        <v>7</v>
      </c>
      <c r="D19" s="49" t="s">
        <v>197</v>
      </c>
      <c r="E19" s="49" t="s">
        <v>41</v>
      </c>
      <c r="F19" s="49" t="s">
        <v>198</v>
      </c>
    </row>
    <row r="20" customFormat="false" ht="15" hidden="false" customHeight="false" outlineLevel="0" collapsed="false">
      <c r="A20" s="52" t="s">
        <v>10</v>
      </c>
      <c r="B20" s="52" t="n">
        <v>25</v>
      </c>
      <c r="C20" s="52" t="n">
        <f aca="false">SUM(Scoring!E4:E6)</f>
        <v>21.875</v>
      </c>
      <c r="D20" s="54" t="n">
        <f aca="false">C20/B20</f>
        <v>0.875</v>
      </c>
      <c r="E20" s="52" t="str">
        <f aca="false">IF(D20&gt;=0.75,"Strong",IF(D20&gt;=0.5,"Developing","Needs attention"))</f>
        <v>Strong</v>
      </c>
      <c r="F20" s="52" t="s">
        <v>199</v>
      </c>
    </row>
    <row r="21" customFormat="false" ht="15" hidden="false" customHeight="false" outlineLevel="0" collapsed="false">
      <c r="A21" s="52" t="s">
        <v>11</v>
      </c>
      <c r="B21" s="52" t="n">
        <v>20</v>
      </c>
      <c r="C21" s="52" t="n">
        <f aca="false">SUM(Scoring!E7:E9)</f>
        <v>17.2222222222222</v>
      </c>
      <c r="D21" s="54" t="n">
        <f aca="false">C21/B21</f>
        <v>0.861111111111111</v>
      </c>
      <c r="E21" s="52" t="str">
        <f aca="false">IF(D21&gt;=0.75,"Strong",IF(D21&gt;=0.5,"Developing","Needs attention"))</f>
        <v>Strong</v>
      </c>
      <c r="F21" s="52" t="s">
        <v>199</v>
      </c>
    </row>
    <row r="22" customFormat="false" ht="15" hidden="false" customHeight="false" outlineLevel="0" collapsed="false">
      <c r="A22" s="52" t="s">
        <v>12</v>
      </c>
      <c r="B22" s="52" t="n">
        <v>20</v>
      </c>
      <c r="C22" s="52" t="n">
        <f aca="false">Scoring!E10</f>
        <v>17.1428571428571</v>
      </c>
      <c r="D22" s="54" t="n">
        <f aca="false">C22/B22</f>
        <v>0.857142857142857</v>
      </c>
      <c r="E22" s="52" t="str">
        <f aca="false">IF(D22&gt;=0.75,"Strong",IF(D22&gt;=0.5,"Developing","Needs attention"))</f>
        <v>Strong</v>
      </c>
      <c r="F22" s="52" t="s">
        <v>199</v>
      </c>
    </row>
    <row r="23" customFormat="false" ht="15" hidden="false" customHeight="false" outlineLevel="0" collapsed="false">
      <c r="A23" s="52" t="s">
        <v>13</v>
      </c>
      <c r="B23" s="52" t="n">
        <v>20</v>
      </c>
      <c r="C23" s="52" t="n">
        <f aca="false">Scoring!E11</f>
        <v>20</v>
      </c>
      <c r="D23" s="54" t="n">
        <f aca="false">C23/B23</f>
        <v>1</v>
      </c>
      <c r="E23" s="52" t="str">
        <f aca="false">IF(D23&gt;=0.75,"Strong",IF(D23&gt;=0.5,"Developing","Needs attention"))</f>
        <v>Strong</v>
      </c>
      <c r="F23" s="52" t="s">
        <v>199</v>
      </c>
    </row>
    <row r="24" customFormat="false" ht="15" hidden="false" customHeight="false" outlineLevel="0" collapsed="false">
      <c r="A24" s="52" t="s">
        <v>14</v>
      </c>
      <c r="B24" s="52" t="n">
        <v>15</v>
      </c>
      <c r="C24" s="52" t="n">
        <f aca="false">Scoring!E12</f>
        <v>10</v>
      </c>
      <c r="D24" s="54" t="n">
        <f aca="false">C24/B24</f>
        <v>0.666666666666667</v>
      </c>
      <c r="E24" s="52" t="str">
        <f aca="false">IF(D24&gt;=0.75,"Strong",IF(D24&gt;=0.5,"Developing","Needs attention"))</f>
        <v>Developing</v>
      </c>
      <c r="F24" s="52" t="s">
        <v>199</v>
      </c>
    </row>
    <row r="27" customFormat="false" ht="15" hidden="false" customHeight="false" outlineLevel="0" collapsed="false">
      <c r="A27" s="21" t="s">
        <v>200</v>
      </c>
    </row>
    <row r="28" customFormat="false" ht="15" hidden="false" customHeight="true" outlineLevel="0" collapsed="false">
      <c r="A28" s="20" t="s">
        <v>201</v>
      </c>
      <c r="B28" s="20"/>
      <c r="C28" s="20"/>
      <c r="D28" s="20"/>
      <c r="E28" s="20"/>
      <c r="F28" s="20"/>
    </row>
  </sheetData>
  <mergeCells count="4">
    <mergeCell ref="A1:F1"/>
    <mergeCell ref="B5:F5"/>
    <mergeCell ref="A18:F18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8" min="7" style="0" width="13"/>
  </cols>
  <sheetData>
    <row r="1" customFormat="false" ht="19.7" hidden="false" customHeight="false" outlineLevel="0" collapsed="false">
      <c r="A1" s="48" t="s">
        <v>202</v>
      </c>
      <c r="B1" s="48"/>
      <c r="C1" s="48"/>
      <c r="D1" s="48"/>
    </row>
    <row r="3" customFormat="false" ht="28.35" hidden="false" customHeight="true" outlineLevel="0" collapsed="false">
      <c r="A3" s="56" t="s">
        <v>160</v>
      </c>
      <c r="B3" s="52" t="s">
        <v>203</v>
      </c>
      <c r="C3" s="52"/>
      <c r="D3" s="52"/>
    </row>
    <row r="4" customFormat="false" ht="28.35" hidden="false" customHeight="true" outlineLevel="0" collapsed="false">
      <c r="A4" s="56" t="s">
        <v>204</v>
      </c>
      <c r="B4" s="52" t="s">
        <v>205</v>
      </c>
      <c r="C4" s="52"/>
      <c r="D4" s="52"/>
    </row>
    <row r="5" customFormat="false" ht="28.35" hidden="false" customHeight="true" outlineLevel="0" collapsed="false">
      <c r="A5" s="56" t="s">
        <v>143</v>
      </c>
      <c r="B5" s="52" t="s">
        <v>206</v>
      </c>
      <c r="C5" s="52"/>
      <c r="D5" s="52"/>
    </row>
    <row r="6" customFormat="false" ht="28.35" hidden="false" customHeight="true" outlineLevel="0" collapsed="false">
      <c r="A6" s="56" t="s">
        <v>207</v>
      </c>
      <c r="B6" s="52" t="s">
        <v>208</v>
      </c>
      <c r="C6" s="52"/>
      <c r="D6" s="52"/>
    </row>
    <row r="7" customFormat="false" ht="15" hidden="false" customHeight="true" outlineLevel="0" collapsed="false">
      <c r="A7" s="56" t="s">
        <v>209</v>
      </c>
      <c r="B7" s="52" t="s">
        <v>210</v>
      </c>
      <c r="C7" s="52"/>
      <c r="D7" s="52"/>
    </row>
    <row r="8" customFormat="false" ht="28.35" hidden="false" customHeight="true" outlineLevel="0" collapsed="false">
      <c r="A8" s="56" t="s">
        <v>211</v>
      </c>
      <c r="B8" s="52" t="s">
        <v>212</v>
      </c>
      <c r="C8" s="52"/>
      <c r="D8" s="52"/>
    </row>
    <row r="9" customFormat="false" ht="28.35" hidden="false" customHeight="true" outlineLevel="0" collapsed="false">
      <c r="A9" s="56" t="s">
        <v>213</v>
      </c>
      <c r="B9" s="52" t="s">
        <v>214</v>
      </c>
      <c r="C9" s="52"/>
      <c r="D9" s="52"/>
    </row>
  </sheetData>
  <mergeCells count="8">
    <mergeCell ref="A1:D1"/>
    <mergeCell ref="B3:D3"/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55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57" t="s">
        <v>215</v>
      </c>
      <c r="B1" s="57" t="s">
        <v>216</v>
      </c>
      <c r="C1" s="57" t="s">
        <v>217</v>
      </c>
      <c r="D1" s="57" t="s">
        <v>218</v>
      </c>
    </row>
    <row r="2" customFormat="false" ht="41.75" hidden="false" customHeight="false" outlineLevel="0" collapsed="false">
      <c r="A2" s="58" t="s">
        <v>219</v>
      </c>
      <c r="B2" s="58" t="s">
        <v>220</v>
      </c>
      <c r="C2" s="58" t="s">
        <v>221</v>
      </c>
      <c r="D2" s="58" t="s">
        <v>222</v>
      </c>
    </row>
    <row r="3" customFormat="false" ht="41.75" hidden="false" customHeight="false" outlineLevel="0" collapsed="false">
      <c r="A3" s="58" t="s">
        <v>223</v>
      </c>
      <c r="B3" s="58" t="s">
        <v>224</v>
      </c>
      <c r="C3" s="58" t="s">
        <v>225</v>
      </c>
      <c r="D3" s="58" t="s">
        <v>226</v>
      </c>
    </row>
    <row r="4" customFormat="false" ht="41.75" hidden="false" customHeight="false" outlineLevel="0" collapsed="false">
      <c r="A4" s="58" t="s">
        <v>227</v>
      </c>
      <c r="B4" s="58" t="s">
        <v>228</v>
      </c>
      <c r="C4" s="58" t="s">
        <v>229</v>
      </c>
      <c r="D4" s="58" t="s">
        <v>230</v>
      </c>
    </row>
    <row r="5" customFormat="false" ht="55.2" hidden="false" customHeight="false" outlineLevel="0" collapsed="false">
      <c r="A5" s="58" t="s">
        <v>231</v>
      </c>
      <c r="B5" s="58" t="s">
        <v>232</v>
      </c>
      <c r="C5" s="58" t="s">
        <v>233</v>
      </c>
      <c r="D5" s="58" t="s">
        <v>234</v>
      </c>
    </row>
    <row r="6" customFormat="false" ht="41.75" hidden="false" customHeight="false" outlineLevel="0" collapsed="false">
      <c r="A6" s="58" t="s">
        <v>235</v>
      </c>
      <c r="B6" s="58" t="s">
        <v>236</v>
      </c>
      <c r="C6" s="58" t="s">
        <v>237</v>
      </c>
      <c r="D6" s="58" t="s">
        <v>238</v>
      </c>
    </row>
    <row r="7" customFormat="false" ht="41.75" hidden="false" customHeight="false" outlineLevel="0" collapsed="false">
      <c r="A7" s="58" t="s">
        <v>239</v>
      </c>
      <c r="B7" s="58" t="s">
        <v>240</v>
      </c>
      <c r="C7" s="58" t="s">
        <v>241</v>
      </c>
      <c r="D7" s="58" t="s">
        <v>242</v>
      </c>
    </row>
    <row r="8" customFormat="false" ht="41.75" hidden="false" customHeight="false" outlineLevel="0" collapsed="false">
      <c r="A8" s="58" t="s">
        <v>243</v>
      </c>
      <c r="B8" s="58" t="s">
        <v>244</v>
      </c>
      <c r="C8" s="58" t="s">
        <v>245</v>
      </c>
      <c r="D8" s="58" t="s">
        <v>246</v>
      </c>
    </row>
  </sheetData>
  <autoFilter ref="A1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5"/>
  </cols>
  <sheetData>
    <row r="1" customFormat="false" ht="17.35" hidden="false" customHeight="false" outlineLevel="0" collapsed="false">
      <c r="A1" s="55" t="s">
        <v>247</v>
      </c>
      <c r="B1" s="55"/>
    </row>
    <row r="2" customFormat="false" ht="28.35" hidden="false" customHeight="false" outlineLevel="0" collapsed="false">
      <c r="A2" s="59" t="s">
        <v>160</v>
      </c>
      <c r="B2" s="58" t="s">
        <v>248</v>
      </c>
    </row>
    <row r="3" customFormat="false" ht="28.35" hidden="false" customHeight="false" outlineLevel="0" collapsed="false">
      <c r="A3" s="59" t="s">
        <v>249</v>
      </c>
      <c r="B3" s="58" t="s">
        <v>250</v>
      </c>
    </row>
    <row r="4" customFormat="false" ht="15" hidden="false" customHeight="false" outlineLevel="0" collapsed="false">
      <c r="A4" s="59" t="s">
        <v>251</v>
      </c>
      <c r="B4" s="58" t="s">
        <v>252</v>
      </c>
    </row>
    <row r="5" customFormat="false" ht="28.35" hidden="false" customHeight="false" outlineLevel="0" collapsed="false">
      <c r="A5" s="59" t="s">
        <v>253</v>
      </c>
      <c r="B5" s="58" t="s">
        <v>254</v>
      </c>
    </row>
    <row r="6" customFormat="false" ht="28.35" hidden="false" customHeight="false" outlineLevel="0" collapsed="false">
      <c r="A6" s="59" t="s">
        <v>255</v>
      </c>
      <c r="B6" s="58" t="s">
        <v>256</v>
      </c>
    </row>
    <row r="7" customFormat="false" ht="28.35" hidden="false" customHeight="false" outlineLevel="0" collapsed="false">
      <c r="A7" s="59" t="s">
        <v>257</v>
      </c>
      <c r="B7" s="58" t="s">
        <v>258</v>
      </c>
    </row>
    <row r="8" customFormat="false" ht="28.35" hidden="false" customHeight="false" outlineLevel="0" collapsed="false">
      <c r="A8" s="59" t="s">
        <v>259</v>
      </c>
      <c r="B8" s="58" t="s">
        <v>260</v>
      </c>
    </row>
    <row r="9" customFormat="false" ht="41.75" hidden="false" customHeight="false" outlineLevel="0" collapsed="false">
      <c r="A9" s="59" t="s">
        <v>261</v>
      </c>
      <c r="B9" s="58" t="s">
        <v>262</v>
      </c>
    </row>
    <row r="10" customFormat="false" ht="28.35" hidden="false" customHeight="false" outlineLevel="0" collapsed="false">
      <c r="A10" s="59" t="s">
        <v>263</v>
      </c>
      <c r="B10" s="58" t="s">
        <v>264</v>
      </c>
    </row>
    <row r="11" customFormat="false" ht="28.35" hidden="false" customHeight="false" outlineLevel="0" collapsed="false">
      <c r="A11" s="59" t="s">
        <v>265</v>
      </c>
      <c r="B11" s="58" t="s">
        <v>266</v>
      </c>
    </row>
    <row r="12" customFormat="false" ht="28.35" hidden="false" customHeight="false" outlineLevel="0" collapsed="false">
      <c r="A12" s="59" t="s">
        <v>143</v>
      </c>
      <c r="B12" s="58" t="s">
        <v>267</v>
      </c>
    </row>
    <row r="13" customFormat="false" ht="28.35" hidden="false" customHeight="false" outlineLevel="0" collapsed="false">
      <c r="A13" s="59" t="s">
        <v>268</v>
      </c>
      <c r="B13" s="58" t="s">
        <v>269</v>
      </c>
    </row>
    <row r="14" customFormat="false" ht="41.75" hidden="false" customHeight="false" outlineLevel="0" collapsed="false">
      <c r="A14" s="59" t="s">
        <v>270</v>
      </c>
      <c r="B14" s="58" t="s">
        <v>271</v>
      </c>
    </row>
    <row r="15" customFormat="false" ht="28.35" hidden="false" customHeight="false" outlineLevel="0" collapsed="false">
      <c r="A15" s="59" t="s">
        <v>272</v>
      </c>
      <c r="B15" s="58" t="s">
        <v>273</v>
      </c>
    </row>
    <row r="17" customFormat="false" ht="15" hidden="false" customHeight="false" outlineLevel="0" collapsed="false">
      <c r="A17" s="0" t="s">
        <v>274</v>
      </c>
      <c r="B17" s="0" t="s">
        <v>275</v>
      </c>
    </row>
    <row r="18" customFormat="false" ht="15" hidden="false" customHeight="false" outlineLevel="0" collapsed="false">
      <c r="A18" s="0" t="s">
        <v>276</v>
      </c>
      <c r="B18" s="0" t="s">
        <v>277</v>
      </c>
    </row>
    <row r="19" customFormat="false" ht="15" hidden="false" customHeight="false" outlineLevel="0" collapsed="false">
      <c r="A19" s="0" t="s">
        <v>278</v>
      </c>
      <c r="B19" s="0" t="s">
        <v>279</v>
      </c>
    </row>
    <row r="21" customFormat="false" ht="15" hidden="false" customHeight="false" outlineLevel="0" collapsed="false">
      <c r="A21" s="60" t="s">
        <v>280</v>
      </c>
    </row>
    <row r="22" customFormat="false" ht="15" hidden="false" customHeight="true" outlineLevel="0" collapsed="false">
      <c r="A22" s="20" t="s">
        <v>281</v>
      </c>
      <c r="B22" s="20"/>
      <c r="C22" s="20"/>
      <c r="D22" s="20"/>
      <c r="E22" s="20"/>
      <c r="F22" s="20"/>
    </row>
  </sheetData>
  <mergeCells count="2">
    <mergeCell ref="A1:B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8"/>
    <col collapsed="false" customWidth="true" hidden="false" outlineLevel="0" max="4" min="4" style="0" width="58"/>
    <col collapsed="false" customWidth="true" hidden="false" outlineLevel="0" max="5" min="5" style="0" width="34"/>
    <col collapsed="false" customWidth="true" hidden="false" outlineLevel="0" max="6" min="6" style="0" width="42"/>
    <col collapsed="false" customWidth="true" hidden="false" outlineLevel="0" max="7" min="7" style="0" width="25"/>
  </cols>
  <sheetData>
    <row r="1" customFormat="false" ht="19.7" hidden="false" customHeight="true" outlineLevel="0" collapsed="false">
      <c r="A1" s="61" t="s">
        <v>282</v>
      </c>
      <c r="B1" s="61"/>
      <c r="C1" s="61"/>
      <c r="D1" s="61"/>
      <c r="E1" s="61"/>
      <c r="F1" s="61"/>
      <c r="G1" s="61"/>
    </row>
    <row r="2" customFormat="false" ht="15" hidden="false" customHeight="true" outlineLevel="0" collapsed="false">
      <c r="A2" s="34" t="s">
        <v>283</v>
      </c>
      <c r="B2" s="34"/>
      <c r="C2" s="34"/>
      <c r="D2" s="34"/>
      <c r="E2" s="34"/>
      <c r="F2" s="34"/>
      <c r="G2" s="34"/>
    </row>
    <row r="3" customFormat="false" ht="28.35" hidden="false" customHeight="false" outlineLevel="0" collapsed="false">
      <c r="A3" s="62" t="s">
        <v>284</v>
      </c>
      <c r="B3" s="63"/>
      <c r="C3" s="63"/>
      <c r="D3" s="63"/>
      <c r="E3" s="63"/>
      <c r="F3" s="63"/>
      <c r="G3" s="63"/>
    </row>
    <row r="4" customFormat="false" ht="28.35" hidden="false" customHeight="false" outlineLevel="0" collapsed="false">
      <c r="A4" s="64" t="s">
        <v>147</v>
      </c>
      <c r="B4" s="64" t="n">
        <f aca="false">Scoring!E15</f>
        <v>86.2400793650794</v>
      </c>
      <c r="D4" s="64" t="s">
        <v>143</v>
      </c>
      <c r="E4" s="64" t="str">
        <f aca="false">Scoring!E16</f>
        <v>Ready</v>
      </c>
    </row>
    <row r="6" customFormat="false" ht="15" hidden="false" customHeight="false" outlineLevel="0" collapsed="false">
      <c r="A6" s="65" t="s">
        <v>42</v>
      </c>
      <c r="B6" s="65" t="s">
        <v>40</v>
      </c>
      <c r="C6" s="65" t="s">
        <v>285</v>
      </c>
      <c r="D6" s="65" t="s">
        <v>43</v>
      </c>
      <c r="E6" s="65" t="s">
        <v>286</v>
      </c>
      <c r="F6" s="65" t="s">
        <v>182</v>
      </c>
      <c r="G6" s="65" t="s">
        <v>183</v>
      </c>
    </row>
    <row r="7" customFormat="false" ht="28.35" hidden="false" customHeight="false" outlineLevel="0" collapsed="false">
      <c r="A7" s="30" t="s">
        <v>287</v>
      </c>
      <c r="B7" s="30" t="s">
        <v>20</v>
      </c>
      <c r="C7" s="30" t="s">
        <v>288</v>
      </c>
      <c r="D7" s="30" t="s">
        <v>289</v>
      </c>
      <c r="E7" s="30" t="s">
        <v>290</v>
      </c>
      <c r="F7" s="30" t="s">
        <v>291</v>
      </c>
      <c r="G7" s="30" t="s">
        <v>292</v>
      </c>
    </row>
    <row r="8" customFormat="false" ht="28.35" hidden="false" customHeight="false" outlineLevel="0" collapsed="false">
      <c r="A8" s="30" t="s">
        <v>293</v>
      </c>
      <c r="B8" s="30" t="s">
        <v>20</v>
      </c>
      <c r="C8" s="30" t="s">
        <v>294</v>
      </c>
      <c r="D8" s="30" t="s">
        <v>295</v>
      </c>
      <c r="E8" s="30" t="s">
        <v>296</v>
      </c>
      <c r="F8" s="30" t="s">
        <v>297</v>
      </c>
      <c r="G8" s="30" t="s">
        <v>292</v>
      </c>
    </row>
    <row r="9" customFormat="false" ht="28.35" hidden="false" customHeight="false" outlineLevel="0" collapsed="false">
      <c r="A9" s="30" t="s">
        <v>287</v>
      </c>
      <c r="B9" s="30" t="s">
        <v>22</v>
      </c>
      <c r="C9" s="30" t="s">
        <v>298</v>
      </c>
      <c r="D9" s="30" t="s">
        <v>299</v>
      </c>
      <c r="E9" s="30" t="s">
        <v>300</v>
      </c>
      <c r="F9" s="30" t="s">
        <v>301</v>
      </c>
      <c r="G9" s="30" t="s">
        <v>302</v>
      </c>
    </row>
    <row r="10" customFormat="false" ht="28.35" hidden="false" customHeight="false" outlineLevel="0" collapsed="false">
      <c r="A10" s="30" t="s">
        <v>293</v>
      </c>
      <c r="B10" s="30" t="s">
        <v>22</v>
      </c>
      <c r="C10" s="30" t="s">
        <v>303</v>
      </c>
      <c r="D10" s="30" t="s">
        <v>304</v>
      </c>
      <c r="E10" s="30" t="s">
        <v>305</v>
      </c>
      <c r="F10" s="30" t="s">
        <v>306</v>
      </c>
      <c r="G10" s="30" t="s">
        <v>302</v>
      </c>
    </row>
    <row r="11" customFormat="false" ht="28.35" hidden="false" customHeight="false" outlineLevel="0" collapsed="false">
      <c r="A11" s="30" t="s">
        <v>287</v>
      </c>
      <c r="B11" s="30" t="s">
        <v>24</v>
      </c>
      <c r="C11" s="30" t="s">
        <v>307</v>
      </c>
      <c r="D11" s="30" t="s">
        <v>308</v>
      </c>
      <c r="E11" s="30" t="s">
        <v>309</v>
      </c>
      <c r="F11" s="30" t="s">
        <v>310</v>
      </c>
      <c r="G11" s="30" t="s">
        <v>311</v>
      </c>
    </row>
    <row r="12" customFormat="false" ht="28.35" hidden="false" customHeight="false" outlineLevel="0" collapsed="false">
      <c r="A12" s="30" t="s">
        <v>293</v>
      </c>
      <c r="B12" s="30" t="s">
        <v>24</v>
      </c>
      <c r="C12" s="30" t="s">
        <v>312</v>
      </c>
      <c r="D12" s="30" t="s">
        <v>313</v>
      </c>
      <c r="E12" s="30" t="s">
        <v>314</v>
      </c>
      <c r="F12" s="30" t="s">
        <v>315</v>
      </c>
      <c r="G12" s="30" t="s">
        <v>311</v>
      </c>
    </row>
    <row r="13" customFormat="false" ht="28.35" hidden="false" customHeight="false" outlineLevel="0" collapsed="false">
      <c r="A13" s="30" t="s">
        <v>287</v>
      </c>
      <c r="B13" s="30" t="s">
        <v>316</v>
      </c>
      <c r="C13" s="30" t="s">
        <v>317</v>
      </c>
      <c r="D13" s="30" t="s">
        <v>318</v>
      </c>
      <c r="E13" s="30" t="s">
        <v>319</v>
      </c>
      <c r="F13" s="30" t="s">
        <v>320</v>
      </c>
      <c r="G13" s="30" t="s">
        <v>321</v>
      </c>
    </row>
    <row r="14" customFormat="false" ht="28.35" hidden="false" customHeight="false" outlineLevel="0" collapsed="false">
      <c r="A14" s="30" t="s">
        <v>293</v>
      </c>
      <c r="B14" s="30" t="s">
        <v>316</v>
      </c>
      <c r="C14" s="30" t="s">
        <v>322</v>
      </c>
      <c r="D14" s="30" t="s">
        <v>323</v>
      </c>
      <c r="E14" s="30" t="s">
        <v>324</v>
      </c>
      <c r="F14" s="30" t="s">
        <v>325</v>
      </c>
      <c r="G14" s="30" t="s">
        <v>321</v>
      </c>
    </row>
    <row r="15" customFormat="false" ht="28.35" hidden="false" customHeight="false" outlineLevel="0" collapsed="false">
      <c r="A15" s="30" t="s">
        <v>287</v>
      </c>
      <c r="B15" s="30" t="s">
        <v>27</v>
      </c>
      <c r="C15" s="30" t="s">
        <v>326</v>
      </c>
      <c r="D15" s="30" t="s">
        <v>327</v>
      </c>
      <c r="E15" s="30" t="s">
        <v>328</v>
      </c>
      <c r="F15" s="30" t="s">
        <v>329</v>
      </c>
      <c r="G15" s="30" t="s">
        <v>330</v>
      </c>
    </row>
    <row r="16" customFormat="false" ht="28.35" hidden="false" customHeight="false" outlineLevel="0" collapsed="false">
      <c r="A16" s="30" t="s">
        <v>293</v>
      </c>
      <c r="B16" s="30" t="s">
        <v>27</v>
      </c>
      <c r="C16" s="30" t="s">
        <v>331</v>
      </c>
      <c r="D16" s="30" t="s">
        <v>332</v>
      </c>
      <c r="E16" s="30" t="s">
        <v>333</v>
      </c>
      <c r="F16" s="30" t="s">
        <v>334</v>
      </c>
      <c r="G16" s="30" t="s">
        <v>330</v>
      </c>
    </row>
    <row r="17" customFormat="false" ht="28.35" hidden="false" customHeight="false" outlineLevel="0" collapsed="false">
      <c r="A17" s="30" t="s">
        <v>287</v>
      </c>
      <c r="B17" s="30" t="s">
        <v>335</v>
      </c>
      <c r="C17" s="30" t="s">
        <v>336</v>
      </c>
      <c r="D17" s="30" t="s">
        <v>337</v>
      </c>
      <c r="E17" s="30" t="s">
        <v>338</v>
      </c>
      <c r="F17" s="30" t="s">
        <v>339</v>
      </c>
      <c r="G17" s="30" t="s">
        <v>193</v>
      </c>
    </row>
    <row r="18" customFormat="false" ht="28.35" hidden="false" customHeight="false" outlineLevel="0" collapsed="false">
      <c r="A18" s="30" t="s">
        <v>293</v>
      </c>
      <c r="B18" s="30" t="s">
        <v>335</v>
      </c>
      <c r="C18" s="30" t="s">
        <v>340</v>
      </c>
      <c r="D18" s="30" t="s">
        <v>341</v>
      </c>
      <c r="E18" s="30" t="s">
        <v>342</v>
      </c>
      <c r="F18" s="30" t="s">
        <v>343</v>
      </c>
      <c r="G18" s="30" t="s">
        <v>193</v>
      </c>
    </row>
    <row r="19" customFormat="false" ht="41.75" hidden="false" customHeight="false" outlineLevel="0" collapsed="false">
      <c r="A19" s="30" t="s">
        <v>287</v>
      </c>
      <c r="B19" s="30" t="s">
        <v>344</v>
      </c>
      <c r="C19" s="30" t="s">
        <v>345</v>
      </c>
      <c r="D19" s="30" t="s">
        <v>346</v>
      </c>
      <c r="E19" s="30" t="s">
        <v>347</v>
      </c>
      <c r="F19" s="30" t="s">
        <v>348</v>
      </c>
      <c r="G19" s="30" t="s">
        <v>349</v>
      </c>
    </row>
    <row r="20" customFormat="false" ht="41.75" hidden="false" customHeight="false" outlineLevel="0" collapsed="false">
      <c r="A20" s="30" t="s">
        <v>293</v>
      </c>
      <c r="B20" s="30" t="s">
        <v>344</v>
      </c>
      <c r="C20" s="30" t="s">
        <v>350</v>
      </c>
      <c r="D20" s="30" t="s">
        <v>351</v>
      </c>
      <c r="E20" s="30" t="s">
        <v>352</v>
      </c>
      <c r="F20" s="30" t="s">
        <v>353</v>
      </c>
      <c r="G20" s="30" t="s">
        <v>349</v>
      </c>
    </row>
    <row r="21" customFormat="false" ht="28.35" hidden="false" customHeight="false" outlineLevel="0" collapsed="false">
      <c r="A21" s="30" t="s">
        <v>287</v>
      </c>
      <c r="B21" s="30" t="s">
        <v>354</v>
      </c>
      <c r="C21" s="30" t="s">
        <v>355</v>
      </c>
      <c r="D21" s="30" t="s">
        <v>356</v>
      </c>
      <c r="E21" s="30" t="s">
        <v>357</v>
      </c>
      <c r="F21" s="30" t="s">
        <v>358</v>
      </c>
      <c r="G21" s="30" t="s">
        <v>359</v>
      </c>
    </row>
    <row r="22" customFormat="false" ht="28.35" hidden="false" customHeight="false" outlineLevel="0" collapsed="false">
      <c r="A22" s="30" t="s">
        <v>293</v>
      </c>
      <c r="B22" s="30" t="s">
        <v>354</v>
      </c>
      <c r="C22" s="30" t="s">
        <v>360</v>
      </c>
      <c r="D22" s="30" t="s">
        <v>361</v>
      </c>
      <c r="E22" s="30" t="s">
        <v>362</v>
      </c>
      <c r="F22" s="30" t="s">
        <v>363</v>
      </c>
      <c r="G22" s="30" t="s">
        <v>359</v>
      </c>
    </row>
    <row r="25" customFormat="false" ht="28.35" hidden="false" customHeight="false" outlineLevel="0" collapsed="false">
      <c r="A25" s="66" t="s">
        <v>364</v>
      </c>
    </row>
    <row r="26" customFormat="false" ht="15" hidden="false" customHeight="true" outlineLevel="0" collapsed="false">
      <c r="A26" s="20" t="s">
        <v>365</v>
      </c>
      <c r="B26" s="20"/>
      <c r="C26" s="20"/>
      <c r="D26" s="20"/>
      <c r="E26" s="20"/>
      <c r="F26" s="20"/>
      <c r="G26" s="20"/>
    </row>
    <row r="28" customFormat="false" ht="15" hidden="false" customHeight="false" outlineLevel="0" collapsed="false">
      <c r="A28" s="64" t="s">
        <v>366</v>
      </c>
    </row>
    <row r="29" customFormat="false" ht="15" hidden="false" customHeight="true" outlineLevel="0" collapsed="false">
      <c r="A29" s="20" t="s">
        <v>367</v>
      </c>
      <c r="B29" s="20"/>
      <c r="C29" s="20"/>
      <c r="D29" s="20"/>
      <c r="E29" s="20"/>
      <c r="F29" s="20"/>
      <c r="G29" s="20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</row>
    <row r="31" customFormat="false" ht="15" hidden="false" customHeight="true" outlineLevel="0" collapsed="false">
      <c r="A31" s="34" t="s">
        <v>368</v>
      </c>
      <c r="B31" s="34"/>
      <c r="C31" s="34"/>
      <c r="D31" s="34"/>
      <c r="E31" s="34"/>
      <c r="F31" s="34"/>
      <c r="G31" s="34"/>
    </row>
    <row r="34" customFormat="false" ht="15" hidden="false" customHeight="false" outlineLevel="0" collapsed="false">
      <c r="A34" s="65" t="s">
        <v>40</v>
      </c>
      <c r="B34" s="65" t="s">
        <v>181</v>
      </c>
      <c r="C34" s="65" t="s">
        <v>41</v>
      </c>
      <c r="D34" s="65" t="s">
        <v>369</v>
      </c>
      <c r="E34" s="65" t="s">
        <v>42</v>
      </c>
    </row>
    <row r="35" customFormat="false" ht="15" hidden="false" customHeight="false" outlineLevel="0" collapsed="false">
      <c r="A35" s="30" t="s">
        <v>20</v>
      </c>
      <c r="B35" s="30" t="n">
        <f aca="false">Calculations!C5</f>
        <v>1.5</v>
      </c>
      <c r="C35" s="30" t="str">
        <f aca="false">IF(B35&lt;1,"Needs attention",IF(B35&lt;1.5,"Moderate","Strong"))</f>
        <v>Strong</v>
      </c>
      <c r="D35" s="30" t="str">
        <f aca="false">IF(C35="Needs attention","Strengthen liquid current assets and/or reduce short-term liabilities.",IF(C35="Moderate","Build a stronger working-capital buffer.","Maintain liquidity discipline."))</f>
        <v>Maintain liquidity discipline.</v>
      </c>
      <c r="E35" s="30" t="str">
        <f aca="false">IF(C35="Needs attention","High",IF(C35="Moderate","Medium","Low"))</f>
        <v>Low</v>
      </c>
    </row>
    <row r="36" customFormat="false" ht="15" hidden="false" customHeight="false" outlineLevel="0" collapsed="false">
      <c r="A36" s="30" t="s">
        <v>22</v>
      </c>
      <c r="B36" s="31" t="n">
        <f aca="false">Calculations!C6</f>
        <v>0.25</v>
      </c>
      <c r="C36" s="30" t="str">
        <f aca="false">IF(B36&lt;0.08,"Needs attention",IF(B36&lt;0.15,"Moderate","Strong"))</f>
        <v>Strong</v>
      </c>
      <c r="D36" s="30" t="str">
        <f aca="false">IF(C36="Needs attention","Review major operating costs and pricing; target sustainable margin improvement.",IF(C36="Moderate","Improve cost efficiency and pricing discipline.","Protect operating margins while scaling."))</f>
        <v>Protect operating margins while scaling.</v>
      </c>
      <c r="E36" s="30" t="str">
        <f aca="false">IF(C36="Needs attention","High",IF(C36="Moderate","Medium","Low"))</f>
        <v>Low</v>
      </c>
    </row>
    <row r="37" customFormat="false" ht="15" hidden="false" customHeight="false" outlineLevel="0" collapsed="false">
      <c r="A37" s="30" t="s">
        <v>24</v>
      </c>
      <c r="B37" s="31" t="n">
        <f aca="false">Calculations!C7</f>
        <v>0.3125</v>
      </c>
      <c r="C37" s="30" t="str">
        <f aca="false">IF(B37&gt;0.5,"Needs attention",IF(B37&gt;0.3,"Moderate","Strong"))</f>
        <v>Moderate</v>
      </c>
      <c r="D37" s="30" t="str">
        <f aca="false">IF(C37="Needs attention","Prioritize debt reduction and avoid unnecessary new borrowing.",IF(C37="Moderate","Monitor leverage before additional debt.","Maintain prudent leverage."))</f>
        <v>Monitor leverage before additional debt.</v>
      </c>
      <c r="E37" s="30" t="str">
        <f aca="false">IF(C37="Needs attention","High",IF(C37="Moderate","Medium","Low"))</f>
        <v>Medium</v>
      </c>
    </row>
    <row r="38" customFormat="false" ht="15" hidden="false" customHeight="false" outlineLevel="0" collapsed="false">
      <c r="A38" s="30" t="s">
        <v>316</v>
      </c>
      <c r="B38" s="30" t="n">
        <f aca="false">Calculations!C9</f>
        <v>1.33333333333333</v>
      </c>
      <c r="C38" s="30" t="str">
        <f aca="false">IF(B38&lt;1,"Needs attention",IF(B38&lt;1.25,"Moderate","Strong"))</f>
        <v>Strong</v>
      </c>
      <c r="D38" s="30" t="str">
        <f aca="false">IF(C38="Needs attention","Improve collections, reduce avoidable outflows, and use a rolling cash forecast.",IF(C38="Moderate","Strengthen cash buffers and collection discipline.","Maintain regular cash-flow monitoring."))</f>
        <v>Maintain regular cash-flow monitoring.</v>
      </c>
      <c r="E38" s="30" t="str">
        <f aca="false">IF(C38="Needs attention","High",IF(C38="Moderate","Medium","Low"))</f>
        <v>Low</v>
      </c>
    </row>
    <row r="39" customFormat="false" ht="15" hidden="false" customHeight="false" outlineLevel="0" collapsed="false">
      <c r="A39" s="30" t="s">
        <v>27</v>
      </c>
      <c r="B39" s="32" t="n">
        <f aca="false">Inputs!C19</f>
        <v>2</v>
      </c>
      <c r="C39" s="30" t="str">
        <f aca="false">IF(B39&lt;1.5,"Needs attention",IF(B39&lt;3,"Moderate","Strong"))</f>
        <v>Moderate</v>
      </c>
      <c r="D39" s="30" t="str">
        <f aca="false">IF(C39="Needs attention","Build an emergency cash reserve gradually.",IF(C39="Moderate","Work toward a stronger reserve.","Maintain the reserve."))</f>
        <v>Work toward a stronger reserve.</v>
      </c>
      <c r="E39" s="30" t="str">
        <f aca="false">IF(C39="Needs attention","High",IF(C39="Moderate","Medium","Low"))</f>
        <v>Medium</v>
      </c>
    </row>
    <row r="40" customFormat="false" ht="15" hidden="false" customHeight="false" outlineLevel="0" collapsed="false">
      <c r="A40" s="30" t="s">
        <v>335</v>
      </c>
      <c r="B40" s="30" t="n">
        <f aca="false">Calculations!C11</f>
        <v>3.73134328358209</v>
      </c>
      <c r="C40" s="30" t="str">
        <f aca="false">IF(B40&lt;1,"Needs attention",IF(B40&lt;1.5,"Moderate","Strong"))</f>
        <v>Strong</v>
      </c>
      <c r="D40" s="30" t="str">
        <f aca="false">IF(C40="Needs attention","Reduce debt-service pressure and/or strengthen operating cash generation.",IF(C40="Moderate","Improve recurring cash generation before adding significant debt.","Maintain debt-service discipline."))</f>
        <v>Maintain debt-service discipline.</v>
      </c>
      <c r="E40" s="30" t="str">
        <f aca="false">IF(C40="Needs attention","High",IF(C40="Moderate","Medium","Low"))</f>
        <v>Low</v>
      </c>
    </row>
    <row r="41" customFormat="false" ht="15" hidden="false" customHeight="false" outlineLevel="0" collapsed="false">
      <c r="A41" s="30" t="s">
        <v>344</v>
      </c>
      <c r="B41" s="31" t="n">
        <f aca="false">Calculations!C12</f>
        <v>0.857142857142857</v>
      </c>
      <c r="C41" s="30" t="str">
        <f aca="false">IF(B41&lt;0.6,"Needs attention",IF(B41&lt;0.85,"Moderate","Strong"))</f>
        <v>Strong</v>
      </c>
      <c r="D41" s="30" t="str">
        <f aca="false">IF(C41="Needs attention","Formalize accounting records and reporting routines.",IF(C41="Moderate","Close documentation gaps and keep records current.","Maintain organized records."))</f>
        <v>Maintain organized records.</v>
      </c>
      <c r="E41" s="30" t="str">
        <f aca="false">IF(C41="Needs attention","High",IF(C41="Moderate","Medium","Low"))</f>
        <v>Low</v>
      </c>
    </row>
    <row r="42" customFormat="false" ht="15" hidden="false" customHeight="false" outlineLevel="0" collapsed="false">
      <c r="A42" s="30" t="s">
        <v>354</v>
      </c>
      <c r="B42" s="31" t="n">
        <f aca="false">Calculations!C13</f>
        <v>0.666666666666667</v>
      </c>
      <c r="C42" s="30" t="str">
        <f aca="false">IF(B42&lt;0.6,"Needs attention",IF(B42&lt;0.85,"Moderate","Strong"))</f>
        <v>Moderate</v>
      </c>
      <c r="D42" s="30" t="str">
        <f aca="false">IF(C42="Needs attention","Introduce budgeting, forecasts, targets and contingency planning.",IF(C42="Moderate","Make planning and variance review more consistent.","Maintain formal planning routines."))</f>
        <v>Make planning and variance review more consistent.</v>
      </c>
      <c r="E42" s="30" t="str">
        <f aca="false">IF(C42="Needs attention","High",IF(C42="Moderate","Medium","Low"))</f>
        <v>Medium</v>
      </c>
    </row>
  </sheetData>
  <mergeCells count="5">
    <mergeCell ref="A1:G1"/>
    <mergeCell ref="A2:G2"/>
    <mergeCell ref="A26:G26"/>
    <mergeCell ref="A29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34"/>
  </cols>
  <sheetData>
    <row r="1" customFormat="false" ht="19.7" hidden="false" customHeight="false" outlineLevel="0" collapsed="false">
      <c r="A1" s="67" t="s">
        <v>370</v>
      </c>
      <c r="B1" s="67"/>
      <c r="C1" s="67"/>
      <c r="D1" s="67"/>
      <c r="E1" s="67"/>
      <c r="F1" s="67"/>
      <c r="G1" s="67"/>
      <c r="H1" s="67"/>
    </row>
    <row r="3" customFormat="false" ht="24" hidden="false" customHeight="true" outlineLevel="0" collapsed="false">
      <c r="A3" s="20" t="s">
        <v>371</v>
      </c>
      <c r="B3" s="20"/>
      <c r="C3" s="20"/>
      <c r="D3" s="20"/>
      <c r="E3" s="20"/>
      <c r="F3" s="20"/>
      <c r="G3" s="20"/>
      <c r="H3" s="20"/>
    </row>
    <row r="5" customFormat="false" ht="15" hidden="false" customHeight="false" outlineLevel="0" collapsed="false">
      <c r="A5" s="68" t="s">
        <v>155</v>
      </c>
      <c r="B5" s="68" t="s">
        <v>181</v>
      </c>
      <c r="C5" s="68" t="s">
        <v>372</v>
      </c>
      <c r="D5" s="68" t="s">
        <v>158</v>
      </c>
      <c r="E5" s="68" t="s">
        <v>159</v>
      </c>
      <c r="F5" s="68" t="s">
        <v>373</v>
      </c>
      <c r="G5" s="68" t="s">
        <v>374</v>
      </c>
      <c r="H5" s="68" t="s">
        <v>375</v>
      </c>
    </row>
    <row r="6" customFormat="false" ht="15" hidden="false" customHeight="false" outlineLevel="0" collapsed="false">
      <c r="A6" s="69" t="s">
        <v>376</v>
      </c>
      <c r="B6" s="70" t="n">
        <f aca="false">Inputs!C7</f>
        <v>12000000</v>
      </c>
      <c r="C6" s="71" t="n">
        <f aca="false">B6</f>
        <v>12000000</v>
      </c>
      <c r="D6" s="72" t="s">
        <v>377</v>
      </c>
      <c r="E6" s="72" t="n">
        <f aca="false">C6-B6</f>
        <v>0</v>
      </c>
      <c r="F6" s="72" t="s">
        <v>378</v>
      </c>
      <c r="G6" s="72" t="s">
        <v>22</v>
      </c>
      <c r="H6" s="69" t="s">
        <v>379</v>
      </c>
    </row>
    <row r="7" customFormat="false" ht="15" hidden="false" customHeight="false" outlineLevel="0" collapsed="false">
      <c r="A7" s="69" t="s">
        <v>380</v>
      </c>
      <c r="B7" s="70" t="n">
        <f aca="false">Inputs!C8</f>
        <v>9000000</v>
      </c>
      <c r="C7" s="71" t="n">
        <f aca="false">B7</f>
        <v>9000000</v>
      </c>
      <c r="D7" s="72" t="s">
        <v>377</v>
      </c>
      <c r="E7" s="72" t="n">
        <f aca="false">C7-B7</f>
        <v>0</v>
      </c>
      <c r="F7" s="72" t="s">
        <v>381</v>
      </c>
      <c r="G7" s="72" t="s">
        <v>22</v>
      </c>
      <c r="H7" s="69" t="s">
        <v>379</v>
      </c>
    </row>
    <row r="8" customFormat="false" ht="15" hidden="false" customHeight="false" outlineLevel="0" collapsed="false">
      <c r="A8" s="69" t="s">
        <v>382</v>
      </c>
      <c r="B8" s="70" t="n">
        <f aca="false">Inputs!C9</f>
        <v>8000000</v>
      </c>
      <c r="C8" s="71" t="n">
        <f aca="false">B8</f>
        <v>8000000</v>
      </c>
      <c r="D8" s="72" t="s">
        <v>60</v>
      </c>
      <c r="E8" s="72" t="n">
        <f aca="false">C8-B8</f>
        <v>0</v>
      </c>
      <c r="F8" s="72" t="s">
        <v>378</v>
      </c>
      <c r="G8" s="72" t="s">
        <v>24</v>
      </c>
      <c r="H8" s="69" t="s">
        <v>379</v>
      </c>
    </row>
    <row r="9" customFormat="false" ht="15" hidden="false" customHeight="false" outlineLevel="0" collapsed="false">
      <c r="A9" s="69" t="s">
        <v>383</v>
      </c>
      <c r="B9" s="70" t="n">
        <f aca="false">Inputs!C10</f>
        <v>3000000</v>
      </c>
      <c r="C9" s="71" t="n">
        <f aca="false">B9</f>
        <v>3000000</v>
      </c>
      <c r="D9" s="72" t="s">
        <v>60</v>
      </c>
      <c r="E9" s="72" t="n">
        <f aca="false">C9-B9</f>
        <v>0</v>
      </c>
      <c r="F9" s="72" t="s">
        <v>378</v>
      </c>
      <c r="G9" s="72" t="s">
        <v>20</v>
      </c>
      <c r="H9" s="69" t="s">
        <v>379</v>
      </c>
    </row>
    <row r="10" customFormat="false" ht="15" hidden="false" customHeight="false" outlineLevel="0" collapsed="false">
      <c r="A10" s="69" t="s">
        <v>384</v>
      </c>
      <c r="B10" s="70" t="n">
        <f aca="false">Inputs!C11</f>
        <v>2000000</v>
      </c>
      <c r="C10" s="71" t="n">
        <f aca="false">B10</f>
        <v>2000000</v>
      </c>
      <c r="D10" s="72" t="s">
        <v>60</v>
      </c>
      <c r="E10" s="72" t="n">
        <f aca="false">C10-B10</f>
        <v>0</v>
      </c>
      <c r="F10" s="72" t="s">
        <v>381</v>
      </c>
      <c r="G10" s="72" t="s">
        <v>20</v>
      </c>
      <c r="H10" s="69" t="s">
        <v>379</v>
      </c>
    </row>
    <row r="11" customFormat="false" ht="15" hidden="false" customHeight="false" outlineLevel="0" collapsed="false">
      <c r="A11" s="69" t="s">
        <v>385</v>
      </c>
      <c r="B11" s="70" t="n">
        <f aca="false">Inputs!C12</f>
        <v>2500000</v>
      </c>
      <c r="C11" s="71" t="n">
        <f aca="false">B11</f>
        <v>2500000</v>
      </c>
      <c r="D11" s="72" t="s">
        <v>60</v>
      </c>
      <c r="E11" s="72" t="n">
        <f aca="false">C11-B11</f>
        <v>0</v>
      </c>
      <c r="F11" s="72" t="s">
        <v>381</v>
      </c>
      <c r="G11" s="72" t="s">
        <v>24</v>
      </c>
      <c r="H11" s="69" t="s">
        <v>379</v>
      </c>
    </row>
    <row r="12" customFormat="false" ht="15" hidden="false" customHeight="false" outlineLevel="0" collapsed="false">
      <c r="A12" s="69" t="s">
        <v>386</v>
      </c>
      <c r="B12" s="70" t="n">
        <f aca="false">Inputs!C15</f>
        <v>1200000</v>
      </c>
      <c r="C12" s="71" t="n">
        <f aca="false">B12</f>
        <v>1200000</v>
      </c>
      <c r="D12" s="72" t="s">
        <v>60</v>
      </c>
      <c r="E12" s="72" t="n">
        <f aca="false">C12-B12</f>
        <v>0</v>
      </c>
      <c r="F12" s="72" t="s">
        <v>378</v>
      </c>
      <c r="G12" s="72" t="s">
        <v>387</v>
      </c>
      <c r="H12" s="69" t="s">
        <v>379</v>
      </c>
    </row>
    <row r="13" customFormat="false" ht="15" hidden="false" customHeight="false" outlineLevel="0" collapsed="false">
      <c r="A13" s="69" t="s">
        <v>388</v>
      </c>
      <c r="B13" s="70" t="n">
        <f aca="false">Inputs!C16</f>
        <v>1000000</v>
      </c>
      <c r="C13" s="71" t="n">
        <f aca="false">B13</f>
        <v>1000000</v>
      </c>
      <c r="D13" s="72" t="s">
        <v>389</v>
      </c>
      <c r="E13" s="72" t="n">
        <f aca="false">C13-B13</f>
        <v>0</v>
      </c>
      <c r="F13" s="72" t="s">
        <v>378</v>
      </c>
      <c r="G13" s="72" t="s">
        <v>390</v>
      </c>
      <c r="H13" s="69" t="s">
        <v>379</v>
      </c>
    </row>
    <row r="14" customFormat="false" ht="15" hidden="false" customHeight="false" outlineLevel="0" collapsed="false">
      <c r="A14" s="69" t="s">
        <v>391</v>
      </c>
      <c r="B14" s="70" t="n">
        <f aca="false">Inputs!C17</f>
        <v>750000</v>
      </c>
      <c r="C14" s="71" t="n">
        <f aca="false">B14</f>
        <v>750000</v>
      </c>
      <c r="D14" s="72" t="s">
        <v>389</v>
      </c>
      <c r="E14" s="72" t="n">
        <f aca="false">C14-B14</f>
        <v>0</v>
      </c>
      <c r="F14" s="72" t="s">
        <v>381</v>
      </c>
      <c r="G14" s="72" t="s">
        <v>390</v>
      </c>
      <c r="H14" s="69" t="s">
        <v>379</v>
      </c>
    </row>
    <row r="15" customFormat="false" ht="15" hidden="false" customHeight="false" outlineLevel="0" collapsed="false">
      <c r="A15" s="69" t="s">
        <v>392</v>
      </c>
      <c r="B15" s="70" t="n">
        <f aca="false">Inputs!C18</f>
        <v>67000</v>
      </c>
      <c r="C15" s="71" t="n">
        <f aca="false">B15</f>
        <v>67000</v>
      </c>
      <c r="D15" s="72" t="s">
        <v>389</v>
      </c>
      <c r="E15" s="72" t="n">
        <f aca="false">C15-B15</f>
        <v>0</v>
      </c>
      <c r="F15" s="72" t="s">
        <v>381</v>
      </c>
      <c r="G15" s="72" t="s">
        <v>393</v>
      </c>
      <c r="H15" s="69" t="s">
        <v>379</v>
      </c>
    </row>
    <row r="16" customFormat="false" ht="15" hidden="false" customHeight="false" outlineLevel="0" collapsed="false">
      <c r="A16" s="69" t="s">
        <v>27</v>
      </c>
      <c r="B16" s="73" t="n">
        <f aca="false">Inputs!C19</f>
        <v>2</v>
      </c>
      <c r="C16" s="74" t="n">
        <f aca="false">B16</f>
        <v>2</v>
      </c>
      <c r="D16" s="72" t="s">
        <v>394</v>
      </c>
      <c r="E16" s="72" t="n">
        <f aca="false">C16-B16</f>
        <v>0</v>
      </c>
      <c r="F16" s="72" t="s">
        <v>378</v>
      </c>
      <c r="G16" s="72" t="s">
        <v>395</v>
      </c>
      <c r="H16" s="69" t="s">
        <v>379</v>
      </c>
    </row>
    <row r="17" customFormat="false" ht="15" hidden="false" customHeight="false" outlineLevel="0" collapsed="false">
      <c r="A17" s="69" t="s">
        <v>396</v>
      </c>
      <c r="B17" s="72" t="str">
        <f aca="false">Inputs!C20</f>
        <v>Monthly</v>
      </c>
      <c r="C17" s="75" t="str">
        <f aca="false">B17</f>
        <v>Monthly</v>
      </c>
      <c r="D17" s="72" t="s">
        <v>397</v>
      </c>
      <c r="E17" s="72" t="str">
        <f aca="false">IF(C17=B17,"No change","Changed")</f>
        <v>No change</v>
      </c>
      <c r="F17" s="72" t="s">
        <v>398</v>
      </c>
      <c r="G17" s="72" t="s">
        <v>399</v>
      </c>
      <c r="H17" s="69" t="s">
        <v>379</v>
      </c>
    </row>
    <row r="19" customFormat="false" ht="16.15" hidden="false" customHeight="false" outlineLevel="0" collapsed="false">
      <c r="A19" s="76" t="s">
        <v>400</v>
      </c>
      <c r="B19" s="76"/>
      <c r="C19" s="76"/>
      <c r="D19" s="76"/>
      <c r="E19" s="76"/>
      <c r="F19" s="76"/>
      <c r="G19" s="76"/>
      <c r="H19" s="76"/>
    </row>
    <row r="20" customFormat="false" ht="15" hidden="false" customHeight="false" outlineLevel="0" collapsed="false">
      <c r="A20" s="68" t="s">
        <v>401</v>
      </c>
      <c r="B20" s="68" t="s">
        <v>156</v>
      </c>
      <c r="C20" s="68" t="s">
        <v>157</v>
      </c>
      <c r="D20" s="68" t="s">
        <v>159</v>
      </c>
      <c r="E20" s="68" t="s">
        <v>374</v>
      </c>
    </row>
    <row r="21" customFormat="false" ht="15" hidden="false" customHeight="false" outlineLevel="0" collapsed="false">
      <c r="A21" s="69" t="s">
        <v>402</v>
      </c>
      <c r="B21" s="72" t="str">
        <f aca="false">Inputs!C21</f>
        <v>Yes</v>
      </c>
      <c r="C21" s="75" t="str">
        <f aca="false">B21</f>
        <v>Yes</v>
      </c>
      <c r="D21" s="72" t="str">
        <f aca="false">IF(C21=B21,"No change","Changed")</f>
        <v>No change</v>
      </c>
      <c r="E21" s="72" t="str">
        <f aca="false">IF(AND(B21="No",C21="Yes"),"Improves readiness",IF(AND(B21="Yes",C21="No"),"Reduces readiness","No score change"))</f>
        <v>No score change</v>
      </c>
    </row>
    <row r="22" customFormat="false" ht="15" hidden="false" customHeight="false" outlineLevel="0" collapsed="false">
      <c r="A22" s="69" t="s">
        <v>80</v>
      </c>
      <c r="B22" s="72" t="str">
        <f aca="false">Inputs!C22</f>
        <v>Yes</v>
      </c>
      <c r="C22" s="75" t="str">
        <f aca="false">B22</f>
        <v>Yes</v>
      </c>
      <c r="D22" s="72" t="str">
        <f aca="false">IF(C22=B22,"No change","Changed")</f>
        <v>No change</v>
      </c>
      <c r="E22" s="72" t="str">
        <f aca="false">IF(AND(B22="No",C22="Yes"),"Improves readiness",IF(AND(B22="Yes",C22="No"),"Reduces readiness","No score change"))</f>
        <v>No score change</v>
      </c>
    </row>
    <row r="23" customFormat="false" ht="15" hidden="false" customHeight="false" outlineLevel="0" collapsed="false">
      <c r="A23" s="69" t="s">
        <v>81</v>
      </c>
      <c r="B23" s="72" t="str">
        <f aca="false">Inputs!C23</f>
        <v>Yes</v>
      </c>
      <c r="C23" s="75" t="str">
        <f aca="false">B23</f>
        <v>Yes</v>
      </c>
      <c r="D23" s="72" t="str">
        <f aca="false">IF(C23=B23,"No change","Changed")</f>
        <v>No change</v>
      </c>
      <c r="E23" s="72" t="str">
        <f aca="false">IF(AND(B23="No",C23="Yes"),"Improves readiness",IF(AND(B23="Yes",C23="No"),"Reduces readiness","No score change"))</f>
        <v>No score change</v>
      </c>
    </row>
    <row r="24" customFormat="false" ht="15" hidden="false" customHeight="false" outlineLevel="0" collapsed="false">
      <c r="A24" s="69" t="s">
        <v>403</v>
      </c>
      <c r="B24" s="72" t="str">
        <f aca="false">Inputs!C24</f>
        <v>Yes</v>
      </c>
      <c r="C24" s="75" t="str">
        <f aca="false">B24</f>
        <v>Yes</v>
      </c>
      <c r="D24" s="72" t="str">
        <f aca="false">IF(C24=B24,"No change","Changed")</f>
        <v>No change</v>
      </c>
      <c r="E24" s="72" t="str">
        <f aca="false">IF(AND(B24="No",C24="Yes"),"Improves readiness",IF(AND(B24="Yes",C24="No"),"Reduces readiness","No score change"))</f>
        <v>No score change</v>
      </c>
    </row>
    <row r="25" customFormat="false" ht="15" hidden="false" customHeight="false" outlineLevel="0" collapsed="false">
      <c r="A25" s="69" t="s">
        <v>83</v>
      </c>
      <c r="B25" s="72" t="str">
        <f aca="false">Inputs!C25</f>
        <v>Yes</v>
      </c>
      <c r="C25" s="75" t="str">
        <f aca="false">B25</f>
        <v>Yes</v>
      </c>
      <c r="D25" s="72" t="str">
        <f aca="false">IF(C25=B25,"No change","Changed")</f>
        <v>No change</v>
      </c>
      <c r="E25" s="72" t="str">
        <f aca="false">IF(AND(B25="No",C25="Yes"),"Improves readiness",IF(AND(B25="Yes",C25="No"),"Reduces readiness","No score change"))</f>
        <v>No score change</v>
      </c>
    </row>
    <row r="26" customFormat="false" ht="15" hidden="false" customHeight="false" outlineLevel="0" collapsed="false">
      <c r="A26" s="69" t="s">
        <v>84</v>
      </c>
      <c r="B26" s="72" t="str">
        <f aca="false">Inputs!C26</f>
        <v>No</v>
      </c>
      <c r="C26" s="75" t="str">
        <f aca="false">B26</f>
        <v>No</v>
      </c>
      <c r="D26" s="72" t="str">
        <f aca="false">IF(C26=B26,"No change","Changed")</f>
        <v>No change</v>
      </c>
      <c r="E26" s="72" t="str">
        <f aca="false">IF(AND(B26="No",C26="Yes"),"Improves readiness",IF(AND(B26="Yes",C26="No"),"Reduces readiness","No score change"))</f>
        <v>No score change</v>
      </c>
    </row>
    <row r="27" customFormat="false" ht="15" hidden="false" customHeight="false" outlineLevel="0" collapsed="false">
      <c r="A27" s="69" t="s">
        <v>404</v>
      </c>
      <c r="B27" s="72" t="str">
        <f aca="false">Inputs!C27</f>
        <v>Yes</v>
      </c>
      <c r="C27" s="75" t="str">
        <f aca="false">B27</f>
        <v>Yes</v>
      </c>
      <c r="D27" s="72" t="str">
        <f aca="false">IF(C27=B27,"No change","Changed")</f>
        <v>No change</v>
      </c>
      <c r="E27" s="72" t="str">
        <f aca="false">IF(AND(B27="No",C27="Yes"),"Improves readiness",IF(AND(B27="Yes",C27="No"),"Reduces readiness","No score change"))</f>
        <v>No score change</v>
      </c>
    </row>
    <row r="28" customFormat="false" ht="15" hidden="false" customHeight="false" outlineLevel="0" collapsed="false">
      <c r="A28" s="69" t="s">
        <v>87</v>
      </c>
      <c r="B28" s="72" t="str">
        <f aca="false">Inputs!C28</f>
        <v>Yes</v>
      </c>
      <c r="C28" s="75" t="str">
        <f aca="false">B28</f>
        <v>Yes</v>
      </c>
      <c r="D28" s="72" t="str">
        <f aca="false">IF(C28=B28,"No change","Changed")</f>
        <v>No change</v>
      </c>
      <c r="E28" s="72" t="str">
        <f aca="false">IF(AND(B28="No",C28="Yes"),"Improves readiness",IF(AND(B28="Yes",C28="No"),"Reduces readiness","No score change"))</f>
        <v>No score change</v>
      </c>
    </row>
    <row r="29" customFormat="false" ht="15" hidden="false" customHeight="false" outlineLevel="0" collapsed="false">
      <c r="A29" s="69" t="s">
        <v>88</v>
      </c>
      <c r="B29" s="72" t="str">
        <f aca="false">Inputs!C29</f>
        <v>Yes</v>
      </c>
      <c r="C29" s="75" t="str">
        <f aca="false">B29</f>
        <v>Yes</v>
      </c>
      <c r="D29" s="72" t="str">
        <f aca="false">IF(C29=B29,"No change","Changed")</f>
        <v>No change</v>
      </c>
      <c r="E29" s="72" t="str">
        <f aca="false">IF(AND(B29="No",C29="Yes"),"Improves readiness",IF(AND(B29="Yes",C29="No"),"Reduces readiness","No score change"))</f>
        <v>No score change</v>
      </c>
    </row>
    <row r="30" customFormat="false" ht="15" hidden="false" customHeight="false" outlineLevel="0" collapsed="false">
      <c r="A30" s="69" t="s">
        <v>89</v>
      </c>
      <c r="B30" s="72" t="str">
        <f aca="false">Inputs!C30</f>
        <v>Yes</v>
      </c>
      <c r="C30" s="75" t="str">
        <f aca="false">B30</f>
        <v>Yes</v>
      </c>
      <c r="D30" s="72" t="str">
        <f aca="false">IF(C30=B30,"No change","Changed")</f>
        <v>No change</v>
      </c>
      <c r="E30" s="72" t="str">
        <f aca="false">IF(AND(B30="No",C30="Yes"),"Improves readiness",IF(AND(B30="Yes",C30="No"),"Reduces readiness","No score change"))</f>
        <v>No score change</v>
      </c>
    </row>
    <row r="31" customFormat="false" ht="15" hidden="false" customHeight="false" outlineLevel="0" collapsed="false">
      <c r="A31" s="69" t="s">
        <v>90</v>
      </c>
      <c r="B31" s="72" t="str">
        <f aca="false">Inputs!C31</f>
        <v>No</v>
      </c>
      <c r="C31" s="75" t="str">
        <f aca="false">B31</f>
        <v>No</v>
      </c>
      <c r="D31" s="72" t="str">
        <f aca="false">IF(C31=B31,"No change","Changed")</f>
        <v>No change</v>
      </c>
      <c r="E31" s="72" t="str">
        <f aca="false">IF(AND(B31="No",C31="Yes"),"Improves readiness",IF(AND(B31="Yes",C31="No"),"Reduces readiness","No score change"))</f>
        <v>No score change</v>
      </c>
    </row>
    <row r="32" customFormat="false" ht="15" hidden="false" customHeight="false" outlineLevel="0" collapsed="false">
      <c r="A32" s="69" t="s">
        <v>91</v>
      </c>
      <c r="B32" s="72" t="str">
        <f aca="false">Inputs!C32</f>
        <v>Yes</v>
      </c>
      <c r="C32" s="75" t="str">
        <f aca="false">B32</f>
        <v>Yes</v>
      </c>
      <c r="D32" s="72" t="str">
        <f aca="false">IF(C32=B32,"No change","Changed")</f>
        <v>No change</v>
      </c>
      <c r="E32" s="72" t="str">
        <f aca="false">IF(AND(B32="No",C32="Yes"),"Improves readiness",IF(AND(B32="Yes",C32="No"),"Reduces readiness","No score change"))</f>
        <v>No score change</v>
      </c>
    </row>
    <row r="33" customFormat="false" ht="15" hidden="false" customHeight="false" outlineLevel="0" collapsed="false">
      <c r="A33" s="69" t="s">
        <v>92</v>
      </c>
      <c r="B33" s="72" t="str">
        <f aca="false">Inputs!C33</f>
        <v>No</v>
      </c>
      <c r="C33" s="75" t="str">
        <f aca="false">B33</f>
        <v>No</v>
      </c>
      <c r="D33" s="72" t="str">
        <f aca="false">IF(C33=B33,"No change","Changed")</f>
        <v>No change</v>
      </c>
      <c r="E33" s="72" t="str">
        <f aca="false">IF(AND(B33="No",C33="Yes"),"Improves readiness",IF(AND(B33="Yes",C33="No"),"Reduces readiness","No score change"))</f>
        <v>No score change</v>
      </c>
    </row>
    <row r="36" customFormat="false" ht="16.15" hidden="false" customHeight="false" outlineLevel="0" collapsed="false">
      <c r="A36" s="76" t="s">
        <v>405</v>
      </c>
      <c r="B36" s="76"/>
      <c r="C36" s="76"/>
      <c r="D36" s="76"/>
      <c r="E36" s="76"/>
      <c r="F36" s="76"/>
      <c r="G36" s="76"/>
      <c r="H36" s="76"/>
    </row>
    <row r="37" customFormat="false" ht="15" hidden="false" customHeight="false" outlineLevel="0" collapsed="false">
      <c r="A37" s="68" t="s">
        <v>180</v>
      </c>
      <c r="B37" s="68" t="s">
        <v>156</v>
      </c>
      <c r="C37" s="68" t="s">
        <v>157</v>
      </c>
      <c r="D37" s="68" t="s">
        <v>159</v>
      </c>
      <c r="E37" s="68" t="s">
        <v>18</v>
      </c>
    </row>
    <row r="38" customFormat="false" ht="15" hidden="false" customHeight="false" outlineLevel="0" collapsed="false">
      <c r="A38" s="72" t="s">
        <v>147</v>
      </c>
      <c r="B38" s="77" t="n">
        <f aca="false">Scoring!E15</f>
        <v>86.2400793650794</v>
      </c>
      <c r="C38" s="77" t="n">
        <f aca="false">IF(C10&lt;=0,0,MIN(8,MAX(0,C40/2*8)))+IF(C6&lt;=0,0,MIN(9,MAX(0,C41/0.2*9)))+IF(C8&lt;=0,0,MIN(8,MAX(0,(1-MIN(0.8,C42))/0.8*8)))+IF(C14&lt;=0,0,MIN(10,MAX(0,C43/1.5*10)))+MIN(5,MAX(0,MIN(3,C44)/3*5))+IF(C17="Monthly",5,IF(C17="Quarterly",3,IF(C17="Less often",1,0)))+COUNTIF(C21:C27,"Yes")/7*20+IF(C15&lt;=0,0,MIN(20,MAX(0,MIN(2,C45)/2*20)))+COUNTIF(C28:C33,"Yes")/6*15</f>
        <v>86.2400793650794</v>
      </c>
      <c r="D38" s="72" t="n">
        <f aca="false">C38-B38</f>
        <v>0</v>
      </c>
      <c r="E38" s="72" t="s">
        <v>406</v>
      </c>
    </row>
    <row r="39" customFormat="false" ht="15" hidden="false" customHeight="false" outlineLevel="0" collapsed="false">
      <c r="A39" s="72" t="s">
        <v>143</v>
      </c>
      <c r="B39" s="72" t="str">
        <f aca="false">Scoring!E16</f>
        <v>Ready</v>
      </c>
      <c r="C39" s="72" t="str">
        <f aca="false">IF(C38="","",IF(C38&gt;=75,"Ready",IF(C38&gt;=50,"Developing","Needs Improvement")))</f>
        <v>Ready</v>
      </c>
      <c r="D39" s="72" t="str">
        <f aca="false">""</f>
        <v/>
      </c>
      <c r="E39" s="72" t="s">
        <v>407</v>
      </c>
    </row>
    <row r="40" customFormat="false" ht="15" hidden="false" customHeight="false" outlineLevel="0" collapsed="false">
      <c r="A40" s="72" t="s">
        <v>19</v>
      </c>
      <c r="B40" s="77" t="n">
        <f aca="false">Calculations!C5</f>
        <v>1.5</v>
      </c>
      <c r="C40" s="77" t="n">
        <f aca="false">IF(C10&lt;=0,0,C9/C10)</f>
        <v>1.5</v>
      </c>
      <c r="D40" s="72" t="n">
        <f aca="false">C40-B40</f>
        <v>0</v>
      </c>
      <c r="E40" s="72" t="s">
        <v>20</v>
      </c>
    </row>
    <row r="41" customFormat="false" ht="15" hidden="false" customHeight="false" outlineLevel="0" collapsed="false">
      <c r="A41" s="72" t="s">
        <v>21</v>
      </c>
      <c r="B41" s="78" t="n">
        <f aca="false">Calculations!C6</f>
        <v>0.25</v>
      </c>
      <c r="C41" s="78" t="n">
        <f aca="false">IF(C6&lt;=0,0,(C6-C7)/C6)</f>
        <v>0.25</v>
      </c>
      <c r="D41" s="78" t="n">
        <f aca="false">C41-B41</f>
        <v>0</v>
      </c>
      <c r="E41" s="72" t="s">
        <v>22</v>
      </c>
    </row>
    <row r="42" customFormat="false" ht="15" hidden="false" customHeight="false" outlineLevel="0" collapsed="false">
      <c r="A42" s="72" t="s">
        <v>23</v>
      </c>
      <c r="B42" s="77" t="n">
        <f aca="false">Calculations!C7</f>
        <v>0.3125</v>
      </c>
      <c r="C42" s="77" t="n">
        <f aca="false">IF(C8&lt;=0,0,C11/C8)</f>
        <v>0.3125</v>
      </c>
      <c r="D42" s="72" t="n">
        <f aca="false">C42-B42</f>
        <v>0</v>
      </c>
      <c r="E42" s="72" t="s">
        <v>24</v>
      </c>
    </row>
    <row r="43" customFormat="false" ht="15" hidden="false" customHeight="false" outlineLevel="0" collapsed="false">
      <c r="A43" s="72" t="s">
        <v>25</v>
      </c>
      <c r="B43" s="77" t="n">
        <f aca="false">Calculations!C9</f>
        <v>1.33333333333333</v>
      </c>
      <c r="C43" s="77" t="n">
        <f aca="false">IF(C14&lt;=0,0,C13/C14)</f>
        <v>1.33333333333333</v>
      </c>
      <c r="D43" s="72" t="n">
        <f aca="false">C43-B43</f>
        <v>0</v>
      </c>
      <c r="E43" s="72" t="s">
        <v>408</v>
      </c>
    </row>
    <row r="44" customFormat="false" ht="15" hidden="false" customHeight="false" outlineLevel="0" collapsed="false">
      <c r="A44" s="72" t="s">
        <v>27</v>
      </c>
      <c r="B44" s="77" t="n">
        <f aca="false">Calculations!C10</f>
        <v>2</v>
      </c>
      <c r="C44" s="77" t="n">
        <f aca="false">IF(C16&lt;0,0,C16)</f>
        <v>2</v>
      </c>
      <c r="D44" s="72" t="n">
        <f aca="false">C44-B44</f>
        <v>0</v>
      </c>
      <c r="E44" s="72" t="s">
        <v>409</v>
      </c>
    </row>
    <row r="45" customFormat="false" ht="15" hidden="false" customHeight="false" outlineLevel="0" collapsed="false">
      <c r="A45" s="72" t="s">
        <v>29</v>
      </c>
      <c r="B45" s="77" t="n">
        <f aca="false">Calculations!C11</f>
        <v>3.73134328358209</v>
      </c>
      <c r="C45" s="77" t="n">
        <f aca="false">IF(C15&lt;=0,0,(C13-C14)/C15)</f>
        <v>3.73134328358209</v>
      </c>
      <c r="D45" s="72" t="n">
        <f aca="false">C45-B45</f>
        <v>0</v>
      </c>
      <c r="E45" s="72" t="s">
        <v>410</v>
      </c>
    </row>
    <row r="46" customFormat="false" ht="15" hidden="false" customHeight="false" outlineLevel="0" collapsed="false">
      <c r="A46" s="72" t="s">
        <v>31</v>
      </c>
      <c r="B46" s="78" t="n">
        <f aca="false">Calculations!C12</f>
        <v>0.857142857142857</v>
      </c>
      <c r="C46" s="78" t="n">
        <f aca="false">COUNTIF(C21:C27,"Yes")/7</f>
        <v>0.857142857142857</v>
      </c>
      <c r="D46" s="78" t="n">
        <f aca="false">C46-B46</f>
        <v>0</v>
      </c>
      <c r="E46" s="72" t="s">
        <v>411</v>
      </c>
    </row>
    <row r="47" customFormat="false" ht="15" hidden="false" customHeight="false" outlineLevel="0" collapsed="false">
      <c r="A47" s="72" t="s">
        <v>33</v>
      </c>
      <c r="B47" s="78" t="n">
        <f aca="false">Calculations!C13</f>
        <v>0.666666666666667</v>
      </c>
      <c r="C47" s="78" t="n">
        <f aca="false">COUNTIF(C28:C33,"Yes")/6</f>
        <v>0.666666666666667</v>
      </c>
      <c r="D47" s="78" t="n">
        <f aca="false">C47-B47</f>
        <v>0</v>
      </c>
      <c r="E47" s="72" t="s">
        <v>412</v>
      </c>
    </row>
    <row r="50" customFormat="false" ht="15" hidden="false" customHeight="false" outlineLevel="0" collapsed="false">
      <c r="A50" s="79" t="s">
        <v>413</v>
      </c>
      <c r="B50" s="79"/>
      <c r="C50" s="79"/>
      <c r="D50" s="79"/>
      <c r="E50" s="79"/>
      <c r="F50" s="79"/>
      <c r="G50" s="79"/>
      <c r="H50" s="79"/>
    </row>
    <row r="51" customFormat="false" ht="24" hidden="false" customHeight="true" outlineLevel="0" collapsed="false">
      <c r="A51" s="34" t="s">
        <v>414</v>
      </c>
      <c r="B51" s="34"/>
      <c r="C51" s="34"/>
      <c r="D51" s="34"/>
      <c r="E51" s="34"/>
      <c r="F51" s="34"/>
      <c r="G51" s="34"/>
      <c r="H51" s="34"/>
    </row>
    <row r="52" customFormat="false" ht="24" hidden="false" customHeight="true" outlineLevel="0" collapsed="false">
      <c r="A52" s="34"/>
      <c r="B52" s="34"/>
      <c r="C52" s="34"/>
      <c r="D52" s="34"/>
      <c r="E52" s="34"/>
      <c r="F52" s="34"/>
      <c r="G52" s="34"/>
      <c r="H52" s="34"/>
    </row>
    <row r="53" customFormat="false" ht="24" hidden="false" customHeight="true" outlineLevel="0" collapsed="false">
      <c r="A53" s="34"/>
      <c r="B53" s="34"/>
      <c r="C53" s="34"/>
      <c r="D53" s="34"/>
      <c r="E53" s="34"/>
      <c r="F53" s="34"/>
      <c r="G53" s="34"/>
      <c r="H53" s="34"/>
    </row>
  </sheetData>
  <mergeCells count="6">
    <mergeCell ref="A1:H1"/>
    <mergeCell ref="A3:H3"/>
    <mergeCell ref="A19:H19"/>
    <mergeCell ref="A36:H36"/>
    <mergeCell ref="A50:H50"/>
    <mergeCell ref="A51:H53"/>
  </mergeCells>
  <conditionalFormatting sqref="C38">
    <cfRule type="cellIs" priority="2" operator="greaterThanOrEqual" aboveAverage="0" equalAverage="0" bottom="0" percent="0" rank="0" text="" dxfId="4">
      <formula>75</formula>
    </cfRule>
    <cfRule type="cellIs" priority="3" operator="between" aboveAverage="0" equalAverage="0" bottom="0" percent="0" rank="0" text="" dxfId="5">
      <formula>50</formula>
      <formula>74.999</formula>
    </cfRule>
    <cfRule type="cellIs" priority="4" operator="lessThan" aboveAverage="0" equalAverage="0" bottom="0" percent="0" rank="0" text="" dxfId="6">
      <formula>50</formula>
    </cfRule>
  </conditionalFormatting>
  <dataValidations count="2">
    <dataValidation allowBlank="true" errorStyle="stop" operator="between" showDropDown="false" showErrorMessage="false" showInputMessage="false" sqref="C17" type="list">
      <formula1>"Monthly,Quarterly,Less often"</formula1>
      <formula2>0</formula2>
    </dataValidation>
    <dataValidation allowBlank="true" errorStyle="stop" operator="between" showDropDown="false" showErrorMessage="false" showInputMessage="false" sqref="C21:C3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42"/>
  </cols>
  <sheetData>
    <row r="1" customFormat="false" ht="19.7" hidden="false" customHeight="false" outlineLevel="0" collapsed="false">
      <c r="A1" s="67" t="s">
        <v>415</v>
      </c>
      <c r="B1" s="67"/>
      <c r="C1" s="67"/>
      <c r="D1" s="67"/>
      <c r="E1" s="67"/>
      <c r="F1" s="67"/>
    </row>
    <row r="3" customFormat="false" ht="15" hidden="false" customHeight="false" outlineLevel="0" collapsed="false">
      <c r="A3" s="0" t="s">
        <v>160</v>
      </c>
      <c r="B3" s="0" t="s">
        <v>416</v>
      </c>
    </row>
    <row r="5" customFormat="false" ht="15" hidden="false" customHeight="false" outlineLevel="0" collapsed="false">
      <c r="A5" s="68" t="s">
        <v>417</v>
      </c>
      <c r="B5" s="68" t="s">
        <v>418</v>
      </c>
      <c r="C5" s="68" t="s">
        <v>419</v>
      </c>
      <c r="D5" s="68" t="s">
        <v>41</v>
      </c>
      <c r="E5" s="68" t="s">
        <v>420</v>
      </c>
      <c r="F5" s="68" t="s">
        <v>375</v>
      </c>
    </row>
    <row r="6" customFormat="false" ht="15" hidden="false" customHeight="false" outlineLevel="0" collapsed="false">
      <c r="A6" s="80" t="s">
        <v>172</v>
      </c>
      <c r="B6" s="80" t="s">
        <v>421</v>
      </c>
      <c r="C6" s="80" t="s">
        <v>422</v>
      </c>
      <c r="D6" s="81" t="s">
        <v>423</v>
      </c>
      <c r="E6" s="80" t="s">
        <v>424</v>
      </c>
      <c r="F6" s="80" t="s">
        <v>425</v>
      </c>
    </row>
    <row r="7" customFormat="false" ht="28.35" hidden="false" customHeight="false" outlineLevel="0" collapsed="false">
      <c r="A7" s="80" t="s">
        <v>426</v>
      </c>
      <c r="B7" s="80" t="s">
        <v>427</v>
      </c>
      <c r="C7" s="80" t="s">
        <v>428</v>
      </c>
      <c r="D7" s="81" t="s">
        <v>423</v>
      </c>
      <c r="E7" s="80" t="s">
        <v>429</v>
      </c>
      <c r="F7" s="80" t="s">
        <v>430</v>
      </c>
    </row>
    <row r="8" customFormat="false" ht="28.35" hidden="false" customHeight="false" outlineLevel="0" collapsed="false">
      <c r="A8" s="80" t="s">
        <v>431</v>
      </c>
      <c r="B8" s="80" t="s">
        <v>432</v>
      </c>
      <c r="C8" s="80" t="s">
        <v>433</v>
      </c>
      <c r="D8" s="81" t="s">
        <v>423</v>
      </c>
      <c r="E8" s="80" t="s">
        <v>429</v>
      </c>
      <c r="F8" s="80" t="s">
        <v>434</v>
      </c>
    </row>
    <row r="9" customFormat="false" ht="28.35" hidden="false" customHeight="false" outlineLevel="0" collapsed="false">
      <c r="A9" s="80" t="s">
        <v>435</v>
      </c>
      <c r="B9" s="80" t="s">
        <v>436</v>
      </c>
      <c r="C9" s="80" t="s">
        <v>437</v>
      </c>
      <c r="D9" s="81" t="s">
        <v>423</v>
      </c>
      <c r="E9" s="80" t="s">
        <v>438</v>
      </c>
      <c r="F9" s="80" t="s">
        <v>439</v>
      </c>
    </row>
    <row r="10" customFormat="false" ht="28.35" hidden="false" customHeight="false" outlineLevel="0" collapsed="false">
      <c r="A10" s="80" t="s">
        <v>440</v>
      </c>
      <c r="B10" s="80" t="s">
        <v>441</v>
      </c>
      <c r="C10" s="80" t="s">
        <v>442</v>
      </c>
      <c r="D10" s="81" t="s">
        <v>423</v>
      </c>
      <c r="E10" s="80" t="s">
        <v>429</v>
      </c>
      <c r="F10" s="80" t="s">
        <v>443</v>
      </c>
    </row>
    <row r="11" customFormat="false" ht="28.35" hidden="false" customHeight="false" outlineLevel="0" collapsed="false">
      <c r="A11" s="80" t="s">
        <v>444</v>
      </c>
      <c r="B11" s="80" t="s">
        <v>445</v>
      </c>
      <c r="C11" s="80" t="s">
        <v>442</v>
      </c>
      <c r="D11" s="81" t="s">
        <v>423</v>
      </c>
      <c r="E11" s="80" t="s">
        <v>429</v>
      </c>
      <c r="F11" s="80" t="s">
        <v>446</v>
      </c>
    </row>
    <row r="12" customFormat="false" ht="15" hidden="false" customHeight="false" outlineLevel="0" collapsed="false">
      <c r="A12" s="80" t="s">
        <v>447</v>
      </c>
      <c r="B12" s="80" t="s">
        <v>448</v>
      </c>
      <c r="C12" s="80" t="s">
        <v>449</v>
      </c>
      <c r="D12" s="81" t="s">
        <v>423</v>
      </c>
      <c r="E12" s="80" t="s">
        <v>450</v>
      </c>
      <c r="F12" s="80" t="s">
        <v>451</v>
      </c>
    </row>
    <row r="13" customFormat="false" ht="15" hidden="false" customHeight="false" outlineLevel="0" collapsed="false">
      <c r="A13" s="80" t="s">
        <v>452</v>
      </c>
      <c r="B13" s="80" t="s">
        <v>453</v>
      </c>
      <c r="C13" s="80" t="s">
        <v>454</v>
      </c>
      <c r="D13" s="81" t="s">
        <v>423</v>
      </c>
      <c r="E13" s="80" t="s">
        <v>455</v>
      </c>
      <c r="F13" s="80" t="s">
        <v>456</v>
      </c>
    </row>
    <row r="14" customFormat="false" ht="28.35" hidden="false" customHeight="false" outlineLevel="0" collapsed="false">
      <c r="A14" s="80" t="s">
        <v>457</v>
      </c>
      <c r="B14" s="80" t="s">
        <v>458</v>
      </c>
      <c r="C14" s="80" t="s">
        <v>459</v>
      </c>
      <c r="D14" s="81" t="s">
        <v>423</v>
      </c>
      <c r="E14" s="80" t="s">
        <v>460</v>
      </c>
      <c r="F14" s="80" t="s">
        <v>461</v>
      </c>
    </row>
    <row r="15" customFormat="false" ht="28.35" hidden="false" customHeight="false" outlineLevel="0" collapsed="false">
      <c r="A15" s="80" t="s">
        <v>462</v>
      </c>
      <c r="B15" s="80" t="s">
        <v>463</v>
      </c>
      <c r="C15" s="80" t="s">
        <v>464</v>
      </c>
      <c r="D15" s="81" t="s">
        <v>423</v>
      </c>
      <c r="E15" s="80" t="s">
        <v>450</v>
      </c>
      <c r="F15" s="80" t="s">
        <v>465</v>
      </c>
    </row>
    <row r="18" customFormat="false" ht="15" hidden="false" customHeight="true" outlineLevel="0" collapsed="false">
      <c r="A18" s="0" t="s">
        <v>466</v>
      </c>
      <c r="B18" s="34" t="s">
        <v>467</v>
      </c>
      <c r="C18" s="34"/>
      <c r="D18" s="34"/>
      <c r="E18" s="34"/>
      <c r="F18" s="34"/>
    </row>
    <row r="19" customFormat="false" ht="15" hidden="false" customHeight="false" outlineLevel="0" collapsed="false">
      <c r="B19" s="34"/>
      <c r="C19" s="34"/>
      <c r="D19" s="34"/>
      <c r="E19" s="34"/>
      <c r="F19" s="34"/>
    </row>
    <row r="20" customFormat="false" ht="15" hidden="false" customHeight="false" outlineLevel="0" collapsed="false">
      <c r="B20" s="34"/>
      <c r="C20" s="34"/>
      <c r="D20" s="34"/>
      <c r="E20" s="34"/>
      <c r="F20" s="34"/>
    </row>
    <row r="22" customFormat="false" ht="15" hidden="false" customHeight="true" outlineLevel="0" collapsed="false">
      <c r="A22" s="0" t="s">
        <v>468</v>
      </c>
      <c r="B22" s="34" t="s">
        <v>469</v>
      </c>
      <c r="C22" s="34"/>
      <c r="D22" s="34"/>
      <c r="E22" s="34"/>
      <c r="F22" s="34"/>
    </row>
    <row r="23" customFormat="false" ht="15" hidden="false" customHeight="false" outlineLevel="0" collapsed="false">
      <c r="B23" s="34"/>
      <c r="C23" s="34"/>
      <c r="D23" s="34"/>
      <c r="E23" s="34"/>
      <c r="F23" s="34"/>
    </row>
    <row r="24" customFormat="false" ht="15" hidden="false" customHeight="false" outlineLevel="0" collapsed="false">
      <c r="B24" s="34"/>
      <c r="C24" s="34"/>
      <c r="D24" s="34"/>
      <c r="E24" s="34"/>
      <c r="F24" s="34"/>
    </row>
    <row r="27" customFormat="false" ht="15" hidden="false" customHeight="true" outlineLevel="0" collapsed="false">
      <c r="A27" s="0" t="s">
        <v>470</v>
      </c>
      <c r="B27" s="34" t="s">
        <v>471</v>
      </c>
      <c r="C27" s="34"/>
      <c r="D27" s="34"/>
      <c r="E27" s="34"/>
      <c r="F27" s="34"/>
    </row>
    <row r="28" customFormat="false" ht="15" hidden="false" customHeight="false" outlineLevel="0" collapsed="false">
      <c r="B28" s="34"/>
      <c r="C28" s="34"/>
      <c r="D28" s="34"/>
      <c r="E28" s="34"/>
      <c r="F28" s="34"/>
    </row>
  </sheetData>
  <mergeCells count="4">
    <mergeCell ref="A1:F1"/>
    <mergeCell ref="B18:F20"/>
    <mergeCell ref="B22:F24"/>
    <mergeCell ref="B27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2026-10-03T07:23:09Z</dcterms:created>
  <dc:creator>openpyxl</dc:creator>
  <dc:description/>
  <dc:language>en-US</dc:language>
  <cp:lastModifiedBy/>
  <dcterms:modified xsi:type="dcterms:W3CDTF">2026-10-03T07:56:20Z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